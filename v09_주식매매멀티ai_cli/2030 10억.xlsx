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270" tabRatio="6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thly Tracker" sheetId="2" state="visible" r:id="rId2"/>
    <sheet xmlns:r="http://schemas.openxmlformats.org/officeDocument/2006/relationships" name="Assumptions" sheetId="3" state="visible" r:id="rId3"/>
  </sheets>
  <definedNames/>
  <calcPr calcId="152511" fullCalcOnLoad="1"/>
</workbook>
</file>

<file path=xl/styles.xml><?xml version="1.0" encoding="utf-8"?>
<styleSheet xmlns="http://schemas.openxmlformats.org/spreadsheetml/2006/main">
  <numFmts count="6">
    <numFmt numFmtId="164" formatCode="yyyy\-mm"/>
    <numFmt numFmtId="165" formatCode="#,##0;[Red]\(#,##0\);\-"/>
    <numFmt numFmtId="166" formatCode="\₩#,##0"/>
    <numFmt numFmtId="167" formatCode="0.0%"/>
    <numFmt numFmtId="168" formatCode="0.0\x"/>
    <numFmt numFmtId="169" formatCode="0.00\x"/>
  </numFmts>
  <fonts count="25">
    <font>
      <name val="Carlito"/>
      <sz val="11"/>
    </font>
    <font>
      <name val="Aptos"/>
      <sz val="11"/>
    </font>
    <font>
      <name val="Carlito"/>
      <b val="1"/>
      <color rgb="FFFFFFFF"/>
      <sz val="18"/>
    </font>
    <font>
      <name val="Carlito"/>
      <b val="1"/>
      <i val="1"/>
      <color rgb="FF111827"/>
      <sz val="11"/>
    </font>
    <font>
      <name val="Carlito"/>
      <color rgb="FF111827"/>
      <sz val="10"/>
    </font>
    <font>
      <name val="Carlito"/>
      <b val="1"/>
      <color rgb="FF111827"/>
      <sz val="11"/>
    </font>
    <font>
      <name val="Carlito"/>
      <b val="1"/>
      <color rgb="FF111827"/>
      <sz val="10"/>
    </font>
    <font>
      <name val="Carlito"/>
      <b val="1"/>
      <color rgb="FFFFFFFF"/>
      <sz val="13"/>
    </font>
    <font>
      <name val="Carlito"/>
      <b val="1"/>
      <color rgb="FFF3E2A7"/>
      <sz val="18"/>
    </font>
    <font>
      <name val="Carlito"/>
      <b val="1"/>
      <color rgb="FF050505"/>
      <sz val="11"/>
    </font>
    <font>
      <name val="Aptos"/>
      <b val="1"/>
      <color rgb="FF050505"/>
      <sz val="11"/>
    </font>
    <font>
      <name val="Aptos"/>
      <b val="1"/>
      <color rgb="FFFFFFFF"/>
      <sz val="18"/>
    </font>
    <font>
      <name val="Carlito"/>
      <b val="1"/>
      <color rgb="FFFFFFFF"/>
      <sz val="18"/>
    </font>
    <font>
      <name val="Carlito"/>
      <b val="1"/>
      <color rgb="FF050505"/>
      <sz val="10"/>
    </font>
    <font>
      <name val="Carlito"/>
      <color rgb="FF111111"/>
      <sz val="10"/>
    </font>
    <font>
      <name val="Aptos"/>
      <color rgb="FF111111"/>
      <sz val="10"/>
    </font>
    <font>
      <name val="Carlito"/>
      <b val="1"/>
      <color rgb="FFF3E2A7"/>
      <sz val="10"/>
    </font>
    <font>
      <name val="Aptos"/>
      <b val="1"/>
      <color rgb="FFF3E2A7"/>
      <sz val="10"/>
    </font>
    <font>
      <name val="Aptos"/>
      <color rgb="FF111111"/>
      <sz val="9"/>
    </font>
    <font>
      <name val="Carlito"/>
      <b val="1"/>
      <color rgb="FFF3E2A7"/>
      <sz val="16"/>
    </font>
    <font>
      <name val="Carlito"/>
      <b val="1"/>
      <color rgb="FF111111"/>
      <sz val="10"/>
    </font>
    <font>
      <name val="Carlito"/>
      <b val="1"/>
      <color rgb="FFF3E2A7"/>
      <sz val="14"/>
    </font>
    <font>
      <name val="Carlito"/>
      <b val="1"/>
      <i val="1"/>
      <color rgb="FF111111"/>
      <sz val="10"/>
    </font>
    <font>
      <name val="Carlito"/>
      <sz val="11"/>
    </font>
    <font>
      <name val="돋움"/>
      <charset val="129"/>
      <family val="3"/>
      <sz val="8"/>
    </font>
  </fonts>
  <fills count="15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F5E7A1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AF7F0"/>
      </patternFill>
    </fill>
    <fill>
      <patternFill patternType="solid">
        <fgColor rgb="FF050505"/>
      </patternFill>
    </fill>
    <fill>
      <patternFill patternType="solid">
        <fgColor rgb="FF111111"/>
      </patternFill>
    </fill>
    <fill>
      <patternFill patternType="solid">
        <fgColor rgb="FFC9A227"/>
      </patternFill>
    </fill>
    <fill>
      <patternFill patternType="solid">
        <fgColor rgb="FFFBF8F0"/>
      </patternFill>
    </fill>
    <fill>
      <patternFill patternType="solid">
        <fgColor rgb="FFF3F4F6"/>
      </patternFill>
    </fill>
    <fill>
      <patternFill patternType="solid">
        <fgColor rgb="FFFFF7ED"/>
      </patternFill>
    </fill>
    <fill>
      <patternFill patternType="solid">
        <fgColor rgb="FFF9FAFB"/>
      </patternFill>
    </fill>
    <fill>
      <patternFill patternType="solid">
        <fgColor rgb="FF1C1C1C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rgb="FFD4AF37"/>
      </left>
      <right style="thin">
        <color rgb="FFD4AF37"/>
      </right>
      <top style="thin">
        <color rgb="FFD4AF37"/>
      </top>
      <bottom style="thin">
        <color rgb="FFD4AF37"/>
      </bottom>
      <diagonal/>
    </border>
    <border>
      <left style="thin">
        <color rgb="FFD6D3D1"/>
      </left>
      <right style="thin">
        <color rgb="FFD6D3D1"/>
      </right>
      <top style="thin">
        <color rgb="FFD6D3D1"/>
      </top>
      <bottom style="thin">
        <color rgb="FFD6D3D1"/>
      </bottom>
      <diagonal/>
    </border>
    <border>
      <left/>
      <right/>
      <top style="thin">
        <color rgb="FFD6D3D1"/>
      </top>
      <bottom style="thin">
        <color rgb="FFD6D3D1"/>
      </bottom>
      <diagonal/>
    </border>
    <border>
      <left style="thin">
        <color rgb="FFD6D3D1"/>
      </left>
      <right style="thin">
        <color rgb="FFD4AF37"/>
      </right>
      <top style="thin">
        <color rgb="FFD4AF37"/>
      </top>
      <bottom style="thin">
        <color rgb="FFD6D3D1"/>
      </bottom>
      <diagonal/>
    </border>
    <border>
      <left style="thin">
        <color rgb="FFD6D3D1"/>
      </left>
      <right style="thin">
        <color rgb="FFD4AF37"/>
      </right>
      <top style="thin">
        <color rgb="FFD6D3D1"/>
      </top>
      <bottom style="thin">
        <color rgb="FFD6D3D1"/>
      </bottom>
      <diagonal/>
    </border>
    <border>
      <left style="thin">
        <color rgb="FFD6D3D1"/>
      </left>
      <right style="thin">
        <color rgb="FFD4AF37"/>
      </right>
      <top style="thin">
        <color rgb="FFD6D3D1"/>
      </top>
      <bottom style="thin">
        <color rgb="FFD4AF37"/>
      </bottom>
      <diagonal/>
    </border>
    <border>
      <left/>
      <right style="thin">
        <color rgb="FFD4AF37"/>
      </right>
      <top style="thin">
        <color rgb="FFD4AF37"/>
      </top>
      <bottom/>
      <diagonal/>
    </border>
    <border>
      <left/>
      <right style="thin">
        <color rgb="FFD4AF37"/>
      </right>
      <top/>
      <bottom/>
      <diagonal/>
    </border>
    <border>
      <left/>
      <right style="thin">
        <color rgb="FFD4AF37"/>
      </right>
      <top/>
      <bottom style="thin">
        <color rgb="FFD4AF37"/>
      </bottom>
      <diagonal/>
    </border>
    <border>
      <left/>
      <right style="thin">
        <color rgb="FFD4AF37"/>
      </right>
      <top style="thin">
        <color rgb="FFD4AF37"/>
      </top>
      <bottom style="thin">
        <color rgb="FFD4AF37"/>
      </bottom>
      <diagonal/>
    </border>
    <border>
      <left/>
      <right/>
      <top style="thin">
        <color rgb="FFD6D3D1"/>
      </top>
      <bottom/>
      <diagonal/>
    </border>
    <border>
      <left/>
      <right style="thin">
        <color rgb="FFD6D3D1"/>
      </right>
      <top style="thin">
        <color rgb="FFD6D3D1"/>
      </top>
      <bottom/>
      <diagonal/>
    </border>
    <border>
      <left/>
      <right style="thin">
        <color rgb="FFD6D3D1"/>
      </right>
      <top/>
      <bottom/>
      <diagonal/>
    </border>
    <border>
      <left style="thin">
        <color rgb="FFD6D3D1"/>
      </left>
      <right/>
      <top/>
      <bottom style="thin">
        <color rgb="FFD6D3D1"/>
      </bottom>
      <diagonal/>
    </border>
    <border>
      <left/>
      <right/>
      <top/>
      <bottom style="thin">
        <color rgb="FFD6D3D1"/>
      </bottom>
      <diagonal/>
    </border>
    <border>
      <left style="thin">
        <color rgb="FFD4AF37"/>
      </left>
      <right style="thin">
        <color rgb="FFD6D3D1"/>
      </right>
      <top style="thin">
        <color rgb="FFD4AF37"/>
      </top>
      <bottom style="thin">
        <color rgb="FFD6D3D1"/>
      </bottom>
      <diagonal/>
    </border>
    <border>
      <left/>
      <right/>
      <top style="thin">
        <color rgb="FFD4AF37"/>
      </top>
      <bottom/>
      <diagonal/>
    </border>
    <border>
      <left style="thin">
        <color rgb="FFD4AF37"/>
      </left>
      <right/>
      <top/>
      <bottom/>
      <diagonal/>
    </border>
    <border>
      <left style="thin">
        <color rgb="FFD4AF37"/>
      </left>
      <right/>
      <top/>
      <bottom style="thin">
        <color rgb="FFD4AF37"/>
      </bottom>
      <diagonal/>
    </border>
    <border>
      <left/>
      <right/>
      <top/>
      <bottom style="thin">
        <color rgb="FFD4AF37"/>
      </bottom>
      <diagonal/>
    </border>
    <border>
      <left style="thin">
        <color rgb="FFD4AF37"/>
      </left>
      <right/>
      <top style="thin">
        <color rgb="FFD4AF37"/>
      </top>
      <bottom/>
      <diagonal/>
    </border>
    <border>
      <left style="thin">
        <color rgb="FFD4AF37"/>
      </left>
      <right/>
      <top style="thin">
        <color rgb="FFD4AF37"/>
      </top>
      <bottom style="thin">
        <color rgb="FFD4AF37"/>
      </bottom>
      <diagonal/>
    </border>
    <border>
      <left/>
      <right/>
      <top style="thin">
        <color rgb="FFD4AF37"/>
      </top>
      <bottom style="thin">
        <color rgb="FFD4AF37"/>
      </bottom>
      <diagonal/>
    </border>
    <border>
      <left/>
      <right style="thin">
        <color rgb="FFD6D3D1"/>
      </right>
      <top style="thin">
        <color rgb="FFD6D3D1"/>
      </top>
      <bottom style="thin">
        <color rgb="FFD6D3D1"/>
      </bottom>
      <diagonal/>
    </border>
    <border>
      <left/>
      <right style="thin">
        <color rgb="FFD6D3D1"/>
      </right>
      <top style="thin">
        <color rgb="FFD4AF37"/>
      </top>
      <bottom/>
      <diagonal/>
    </border>
    <border>
      <left/>
      <right/>
      <top style="thin">
        <color rgb="FFD4AF37"/>
      </top>
      <bottom style="thin">
        <color rgb="FFD6D3D1"/>
      </bottom>
      <diagonal/>
    </border>
    <border>
      <left/>
      <right style="thin">
        <color rgb="FFD6D3D1"/>
      </right>
      <top style="thin">
        <color rgb="FFD4AF37"/>
      </top>
      <bottom style="thin">
        <color rgb="FFD6D3D1"/>
      </bottom>
      <diagonal/>
    </border>
  </borders>
  <cellStyleXfs count="2">
    <xf numFmtId="0" fontId="23" fillId="0" borderId="1"/>
    <xf numFmtId="0" fontId="23" fillId="0" borderId="1"/>
  </cellStyleXfs>
  <cellXfs count="162">
    <xf numFmtId="0" fontId="0" fillId="0" borderId="0" pivotButton="0" quotePrefix="0" xfId="0"/>
    <xf numFmtId="0" fontId="1" fillId="0" borderId="0" pivotButton="0" quotePrefix="0" xfId="1"/>
    <xf numFmtId="0" fontId="1" fillId="4" borderId="0" pivotButton="0" quotePrefix="0" xfId="1"/>
    <xf numFmtId="0" fontId="4" fillId="5" borderId="3" applyAlignment="1" pivotButton="0" quotePrefix="0" xfId="1">
      <alignment horizontal="center" vertical="center"/>
    </xf>
    <xf numFmtId="164" fontId="4" fillId="5" borderId="3" applyAlignment="1" pivotButton="0" quotePrefix="0" xfId="1">
      <alignment horizontal="center" vertical="center"/>
    </xf>
    <xf numFmtId="0" fontId="5" fillId="3" borderId="2" applyAlignment="1" pivotButton="0" quotePrefix="0" xfId="1">
      <alignment horizontal="center" vertical="center"/>
    </xf>
    <xf numFmtId="165" fontId="5" fillId="3" borderId="2" applyAlignment="1" pivotButton="0" quotePrefix="0" xfId="1">
      <alignment horizontal="center" vertical="center"/>
    </xf>
    <xf numFmtId="0" fontId="6" fillId="5" borderId="2" applyAlignment="1" pivotButton="0" quotePrefix="0" xfId="1">
      <alignment horizontal="center" vertical="center"/>
    </xf>
    <xf numFmtId="0" fontId="4" fillId="5" borderId="2" applyAlignment="1" pivotButton="0" quotePrefix="0" xfId="1">
      <alignment horizontal="center" vertical="center"/>
    </xf>
    <xf numFmtId="165" fontId="6" fillId="5" borderId="2" applyAlignment="1" pivotButton="0" quotePrefix="0" xfId="1">
      <alignment horizontal="center" vertical="center"/>
    </xf>
    <xf numFmtId="165" fontId="4" fillId="5" borderId="2" applyAlignment="1" pivotButton="0" quotePrefix="0" xfId="1">
      <alignment horizontal="center" vertical="center"/>
    </xf>
    <xf numFmtId="165" fontId="1" fillId="0" borderId="0" applyAlignment="1" pivotButton="0" quotePrefix="0" xfId="1">
      <alignment vertical="center"/>
    </xf>
    <xf numFmtId="0" fontId="6" fillId="6" borderId="3" applyAlignment="1" pivotButton="0" quotePrefix="0" xfId="1">
      <alignment horizontal="left" vertical="center"/>
    </xf>
    <xf numFmtId="0" fontId="4" fillId="6" borderId="3" applyAlignment="1" pivotButton="0" quotePrefix="0" xfId="1">
      <alignment horizontal="left" vertical="center"/>
    </xf>
    <xf numFmtId="0" fontId="6" fillId="5" borderId="3" applyAlignment="1" pivotButton="0" quotePrefix="0" xfId="1">
      <alignment horizontal="left" vertical="center"/>
    </xf>
    <xf numFmtId="0" fontId="4" fillId="5" borderId="3" applyAlignment="1" pivotButton="0" quotePrefix="0" xfId="1">
      <alignment horizontal="left" vertical="center"/>
    </xf>
    <xf numFmtId="0" fontId="14" fillId="10" borderId="2" applyAlignment="1" pivotButton="0" quotePrefix="0" xfId="1">
      <alignment horizontal="center" vertical="center"/>
    </xf>
    <xf numFmtId="0" fontId="15" fillId="10" borderId="0" applyAlignment="1" pivotButton="0" quotePrefix="0" xfId="1">
      <alignment horizontal="center" vertical="center"/>
    </xf>
    <xf numFmtId="0" fontId="15" fillId="10" borderId="9" applyAlignment="1" pivotButton="0" quotePrefix="0" xfId="1">
      <alignment horizontal="center" vertical="center"/>
    </xf>
    <xf numFmtId="0" fontId="15" fillId="10" borderId="19" applyAlignment="1" pivotButton="0" quotePrefix="0" xfId="1">
      <alignment horizontal="center" vertical="center"/>
    </xf>
    <xf numFmtId="0" fontId="15" fillId="10" borderId="20" applyAlignment="1" pivotButton="0" quotePrefix="0" xfId="1">
      <alignment horizontal="center" vertical="center"/>
    </xf>
    <xf numFmtId="0" fontId="15" fillId="10" borderId="21" applyAlignment="1" pivotButton="0" quotePrefix="0" xfId="1">
      <alignment horizontal="center" vertical="center"/>
    </xf>
    <xf numFmtId="0" fontId="15" fillId="10" borderId="10" applyAlignment="1" pivotButton="0" quotePrefix="0" xfId="1">
      <alignment horizontal="center" vertical="center"/>
    </xf>
    <xf numFmtId="0" fontId="16" fillId="8" borderId="2" applyAlignment="1" pivotButton="0" quotePrefix="0" xfId="1">
      <alignment horizontal="center" vertical="center"/>
    </xf>
    <xf numFmtId="0" fontId="17" fillId="8" borderId="18" applyAlignment="1" pivotButton="0" quotePrefix="0" xfId="1">
      <alignment horizontal="center" vertical="center"/>
    </xf>
    <xf numFmtId="0" fontId="17" fillId="8" borderId="8" applyAlignment="1" pivotButton="0" quotePrefix="0" xfId="1">
      <alignment horizontal="center" vertical="center"/>
    </xf>
    <xf numFmtId="166" fontId="14" fillId="10" borderId="2" applyAlignment="1" pivotButton="0" quotePrefix="0" xfId="1">
      <alignment horizontal="center" vertical="center"/>
    </xf>
    <xf numFmtId="166" fontId="15" fillId="10" borderId="0" applyAlignment="1" pivotButton="0" quotePrefix="0" xfId="1">
      <alignment horizontal="center" vertical="center"/>
    </xf>
    <xf numFmtId="167" fontId="15" fillId="10" borderId="0" applyAlignment="1" pivotButton="0" quotePrefix="0" xfId="1">
      <alignment horizontal="center" vertical="center"/>
    </xf>
    <xf numFmtId="0" fontId="18" fillId="11" borderId="0" applyAlignment="1" pivotButton="0" quotePrefix="0" xfId="1">
      <alignment horizontal="center"/>
    </xf>
    <xf numFmtId="164" fontId="18" fillId="11" borderId="0" applyAlignment="1" pivotButton="0" quotePrefix="0" xfId="1">
      <alignment horizontal="center"/>
    </xf>
    <xf numFmtId="166" fontId="18" fillId="11" borderId="0" applyAlignment="1" pivotButton="0" quotePrefix="0" xfId="1">
      <alignment horizontal="center"/>
    </xf>
    <xf numFmtId="0" fontId="13" fillId="9" borderId="2" applyAlignment="1" pivotButton="0" quotePrefix="0" xfId="1">
      <alignment horizontal="center" vertical="center" wrapText="1"/>
    </xf>
    <xf numFmtId="164" fontId="14" fillId="6" borderId="3" applyAlignment="1" pivotButton="0" quotePrefix="0" xfId="1">
      <alignment horizontal="center" vertical="center" wrapText="1"/>
    </xf>
    <xf numFmtId="1" fontId="14" fillId="6" borderId="3" applyAlignment="1" pivotButton="0" quotePrefix="0" xfId="1">
      <alignment horizontal="center" vertical="center" wrapText="1"/>
    </xf>
    <xf numFmtId="167" fontId="14" fillId="6" borderId="3" applyAlignment="1" pivotButton="0" quotePrefix="0" xfId="1">
      <alignment horizontal="center" vertical="center" wrapText="1"/>
    </xf>
    <xf numFmtId="0" fontId="14" fillId="6" borderId="3" applyAlignment="1" pivotButton="0" quotePrefix="0" xfId="1">
      <alignment horizontal="center" vertical="center" wrapText="1"/>
    </xf>
    <xf numFmtId="164" fontId="14" fillId="5" borderId="3" applyAlignment="1" pivotButton="0" quotePrefix="0" xfId="1">
      <alignment horizontal="center" vertical="center" wrapText="1"/>
    </xf>
    <xf numFmtId="1" fontId="14" fillId="5" borderId="3" applyAlignment="1" pivotButton="0" quotePrefix="0" xfId="1">
      <alignment horizontal="center" vertical="center" wrapText="1"/>
    </xf>
    <xf numFmtId="167" fontId="14" fillId="5" borderId="3" applyAlignment="1" pivotButton="0" quotePrefix="0" xfId="1">
      <alignment horizontal="center" vertical="center" wrapText="1"/>
    </xf>
    <xf numFmtId="0" fontId="14" fillId="5" borderId="3" applyAlignment="1" pivotButton="0" quotePrefix="0" xfId="1">
      <alignment horizontal="center" vertical="center" wrapText="1"/>
    </xf>
    <xf numFmtId="166" fontId="14" fillId="6" borderId="3" applyAlignment="1" pivotButton="0" quotePrefix="0" xfId="1">
      <alignment horizontal="center" vertical="center" wrapText="1"/>
    </xf>
    <xf numFmtId="166" fontId="14" fillId="5" borderId="3" applyAlignment="1" pivotButton="0" quotePrefix="0" xfId="1">
      <alignment horizontal="center" vertical="center" wrapText="1"/>
    </xf>
    <xf numFmtId="166" fontId="20" fillId="12" borderId="3" applyAlignment="1" pivotButton="0" quotePrefix="0" xfId="1">
      <alignment horizontal="center" vertical="center" wrapText="1"/>
    </xf>
    <xf numFmtId="0" fontId="14" fillId="13" borderId="3" applyAlignment="1" pivotButton="0" quotePrefix="0" xfId="1">
      <alignment horizontal="center" vertical="center" wrapText="1"/>
    </xf>
    <xf numFmtId="0" fontId="20" fillId="10" borderId="3" applyAlignment="1" pivotButton="0" quotePrefix="0" xfId="1">
      <alignment horizontal="left" vertical="center"/>
    </xf>
    <xf numFmtId="164" fontId="14" fillId="10" borderId="3" applyAlignment="1" pivotButton="0" quotePrefix="0" xfId="1">
      <alignment horizontal="left" vertical="center"/>
    </xf>
    <xf numFmtId="166" fontId="14" fillId="10" borderId="3" applyAlignment="1" pivotButton="0" quotePrefix="0" xfId="1">
      <alignment horizontal="left" vertical="center"/>
    </xf>
    <xf numFmtId="167" fontId="14" fillId="10" borderId="3" applyAlignment="1" pivotButton="0" quotePrefix="0" xfId="1">
      <alignment horizontal="left" vertical="center"/>
    </xf>
    <xf numFmtId="168" fontId="2" fillId="14" borderId="3" applyAlignment="1" pivotButton="0" quotePrefix="0" xfId="1">
      <alignment horizontal="center" vertical="center"/>
    </xf>
    <xf numFmtId="168" fontId="11" fillId="14" borderId="12" applyAlignment="1" pivotButton="0" quotePrefix="0" xfId="1">
      <alignment horizontal="center" vertical="center"/>
    </xf>
    <xf numFmtId="168" fontId="11" fillId="14" borderId="13" applyAlignment="1" pivotButton="0" quotePrefix="0" xfId="1">
      <alignment horizontal="center" vertical="center"/>
    </xf>
    <xf numFmtId="168" fontId="11" fillId="14" borderId="0" applyAlignment="1" pivotButton="0" quotePrefix="0" xfId="1">
      <alignment horizontal="center" vertical="center"/>
    </xf>
    <xf numFmtId="168" fontId="11" fillId="14" borderId="14" applyAlignment="1" pivotButton="0" quotePrefix="0" xfId="1">
      <alignment horizontal="center" vertical="center"/>
    </xf>
    <xf numFmtId="168" fontId="2" fillId="14" borderId="17" applyAlignment="1" pivotButton="0" quotePrefix="0" xfId="1">
      <alignment horizontal="center" vertical="center"/>
    </xf>
    <xf numFmtId="165" fontId="13" fillId="9" borderId="23" applyAlignment="1" pivotButton="0" quotePrefix="0" xfId="1">
      <alignment horizontal="center" vertical="center"/>
    </xf>
    <xf numFmtId="165" fontId="13" fillId="9" borderId="24" applyAlignment="1" pivotButton="0" quotePrefix="0" xfId="1">
      <alignment horizontal="center" vertical="center"/>
    </xf>
    <xf numFmtId="165" fontId="13" fillId="9" borderId="11" applyAlignment="1" pivotButton="0" quotePrefix="0" xfId="1">
      <alignment horizontal="center" vertical="center"/>
    </xf>
    <xf numFmtId="165" fontId="14" fillId="10" borderId="22" applyAlignment="1" pivotButton="0" quotePrefix="0" xfId="1">
      <alignment horizontal="left" vertical="top" wrapText="1"/>
    </xf>
    <xf numFmtId="165" fontId="14" fillId="10" borderId="18" applyAlignment="1" pivotButton="0" quotePrefix="0" xfId="1">
      <alignment horizontal="left" vertical="top" wrapText="1"/>
    </xf>
    <xf numFmtId="165" fontId="14" fillId="10" borderId="8" applyAlignment="1" pivotButton="0" quotePrefix="0" xfId="1">
      <alignment horizontal="left" vertical="top" wrapText="1"/>
    </xf>
    <xf numFmtId="165" fontId="14" fillId="10" borderId="19" applyAlignment="1" pivotButton="0" quotePrefix="0" xfId="1">
      <alignment horizontal="left" vertical="top" wrapText="1"/>
    </xf>
    <xf numFmtId="165" fontId="14" fillId="10" borderId="1" applyAlignment="1" pivotButton="0" quotePrefix="0" xfId="1">
      <alignment horizontal="left" vertical="top" wrapText="1"/>
    </xf>
    <xf numFmtId="165" fontId="14" fillId="10" borderId="9" applyAlignment="1" pivotButton="0" quotePrefix="0" xfId="1">
      <alignment horizontal="left" vertical="top" wrapText="1"/>
    </xf>
    <xf numFmtId="165" fontId="14" fillId="10" borderId="20" applyAlignment="1" pivotButton="0" quotePrefix="0" xfId="1">
      <alignment horizontal="left" vertical="top" wrapText="1"/>
    </xf>
    <xf numFmtId="165" fontId="14" fillId="10" borderId="21" applyAlignment="1" pivotButton="0" quotePrefix="0" xfId="1">
      <alignment horizontal="left" vertical="top" wrapText="1"/>
    </xf>
    <xf numFmtId="165" fontId="14" fillId="10" borderId="10" applyAlignment="1" pivotButton="0" quotePrefix="0" xfId="1">
      <alignment horizontal="left" vertical="top" wrapText="1"/>
    </xf>
    <xf numFmtId="0" fontId="8" fillId="7" borderId="1" applyAlignment="1" pivotButton="0" quotePrefix="0" xfId="1">
      <alignment horizontal="center" vertical="center"/>
    </xf>
    <xf numFmtId="0" fontId="13" fillId="9" borderId="2" applyAlignment="1" pivotButton="0" quotePrefix="0" xfId="1">
      <alignment horizontal="center" vertical="center"/>
    </xf>
    <xf numFmtId="0" fontId="10" fillId="9" borderId="0" applyAlignment="1" pivotButton="0" quotePrefix="0" xfId="1">
      <alignment horizontal="center"/>
    </xf>
    <xf numFmtId="168" fontId="12" fillId="14" borderId="15" applyAlignment="1" pivotButton="0" quotePrefix="0" xfId="1">
      <alignment horizontal="center" vertical="center"/>
    </xf>
    <xf numFmtId="168" fontId="12" fillId="14" borderId="16" applyAlignment="1" pivotButton="0" quotePrefix="0" xfId="1">
      <alignment horizontal="center" vertical="center"/>
    </xf>
    <xf numFmtId="0" fontId="3" fillId="3" borderId="2" applyAlignment="1" pivotButton="0" quotePrefix="0" xfId="1">
      <alignment horizontal="center" vertical="center"/>
    </xf>
    <xf numFmtId="169" fontId="9" fillId="9" borderId="2" applyAlignment="1" pivotButton="0" quotePrefix="0" xfId="1">
      <alignment horizontal="center" vertical="center"/>
    </xf>
    <xf numFmtId="0" fontId="9" fillId="9" borderId="2" applyAlignment="1" pivotButton="0" quotePrefix="0" xfId="1">
      <alignment horizontal="center" vertical="center"/>
    </xf>
    <xf numFmtId="0" fontId="10" fillId="9" borderId="11" applyAlignment="1" pivotButton="0" quotePrefix="0" xfId="1">
      <alignment horizontal="center" vertical="center"/>
    </xf>
    <xf numFmtId="167" fontId="11" fillId="14" borderId="0" applyAlignment="1" pivotButton="0" quotePrefix="0" xfId="1">
      <alignment horizontal="center" vertical="center"/>
    </xf>
    <xf numFmtId="167" fontId="2" fillId="14" borderId="2" applyAlignment="1" pivotButton="0" quotePrefix="0" xfId="1">
      <alignment horizontal="center" vertical="center"/>
    </xf>
    <xf numFmtId="0" fontId="10" fillId="9" borderId="0" applyAlignment="1" pivotButton="0" quotePrefix="0" xfId="1">
      <alignment horizontal="center" vertical="center"/>
    </xf>
    <xf numFmtId="166" fontId="11" fillId="14" borderId="0" applyAlignment="1" pivotButton="0" quotePrefix="0" xfId="1">
      <alignment horizontal="center" vertical="center"/>
    </xf>
    <xf numFmtId="164" fontId="9" fillId="9" borderId="3" applyAlignment="1" pivotButton="0" quotePrefix="0" xfId="1">
      <alignment horizontal="center" vertical="center"/>
    </xf>
    <xf numFmtId="0" fontId="10" fillId="9" borderId="4" applyAlignment="1" pivotButton="0" quotePrefix="0" xfId="1">
      <alignment horizontal="center" vertical="center"/>
    </xf>
    <xf numFmtId="0" fontId="9" fillId="9" borderId="3" applyAlignment="1" pivotButton="0" quotePrefix="0" xfId="1">
      <alignment horizontal="center" vertical="center"/>
    </xf>
    <xf numFmtId="166" fontId="2" fillId="14" borderId="2" applyAlignment="1" pivotButton="0" quotePrefix="0" xfId="1">
      <alignment horizontal="center" vertical="center"/>
    </xf>
    <xf numFmtId="166" fontId="2" fillId="14" borderId="5" applyAlignment="1" pivotButton="0" quotePrefix="0" xfId="1">
      <alignment horizontal="center" vertical="center"/>
    </xf>
    <xf numFmtId="166" fontId="2" fillId="14" borderId="6" applyAlignment="1" pivotButton="0" quotePrefix="0" xfId="1">
      <alignment horizontal="center" vertical="center"/>
    </xf>
    <xf numFmtId="166" fontId="2" fillId="14" borderId="7" applyAlignment="1" pivotButton="0" quotePrefix="0" xfId="1">
      <alignment horizontal="center" vertical="center"/>
    </xf>
    <xf numFmtId="166" fontId="11" fillId="14" borderId="8" applyAlignment="1" pivotButton="0" quotePrefix="0" xfId="1">
      <alignment horizontal="center" vertical="center"/>
    </xf>
    <xf numFmtId="166" fontId="11" fillId="14" borderId="9" applyAlignment="1" pivotButton="0" quotePrefix="0" xfId="1">
      <alignment horizontal="center" vertical="center"/>
    </xf>
    <xf numFmtId="166" fontId="11" fillId="14" borderId="10" applyAlignment="1" pivotButton="0" quotePrefix="0" xfId="1">
      <alignment horizontal="center" vertical="center"/>
    </xf>
    <xf numFmtId="0" fontId="19" fillId="7" borderId="2" applyAlignment="1" pivotButton="0" quotePrefix="0" xfId="1">
      <alignment horizontal="center" vertical="center"/>
    </xf>
    <xf numFmtId="0" fontId="21" fillId="7" borderId="2" applyAlignment="1" pivotButton="0" quotePrefix="0" xfId="1">
      <alignment horizontal="center" vertical="center"/>
    </xf>
    <xf numFmtId="0" fontId="7" fillId="2" borderId="2" applyAlignment="1" pivotButton="0" quotePrefix="0" xfId="1">
      <alignment horizontal="center" vertical="center"/>
    </xf>
    <xf numFmtId="0" fontId="20" fillId="10" borderId="17" applyAlignment="1" pivotButton="0" quotePrefix="0" xfId="1">
      <alignment horizontal="left" vertical="center"/>
    </xf>
    <xf numFmtId="0" fontId="5" fillId="3" borderId="2" applyAlignment="1" pivotButton="0" quotePrefix="0" xfId="1">
      <alignment horizontal="center" vertical="center"/>
    </xf>
    <xf numFmtId="0" fontId="22" fillId="12" borderId="2" applyAlignment="1" pivotButton="0" quotePrefix="0" xfId="1">
      <alignment horizontal="center" vertical="center" wrapText="1"/>
    </xf>
    <xf numFmtId="164" fontId="4" fillId="5" borderId="3" applyAlignment="1" pivotButton="0" quotePrefix="0" xfId="1">
      <alignment horizontal="center" vertical="center"/>
    </xf>
    <xf numFmtId="0" fontId="0" fillId="0" borderId="24" pivotButton="0" quotePrefix="0" xfId="0"/>
    <xf numFmtId="0" fontId="0" fillId="0" borderId="11" pivotButton="0" quotePrefix="0" xfId="0"/>
    <xf numFmtId="164" fontId="18" fillId="11" borderId="0" applyAlignment="1" pivotButton="0" quotePrefix="0" xfId="1">
      <alignment horizontal="center"/>
    </xf>
    <xf numFmtId="166" fontId="18" fillId="11" borderId="0" applyAlignment="1" pivotButton="0" quotePrefix="0" xfId="1">
      <alignment horizontal="center"/>
    </xf>
    <xf numFmtId="164" fontId="9" fillId="9" borderId="3" applyAlignment="1" pivotButton="0" quotePrefix="0" xfId="1">
      <alignment horizontal="center" vertical="center"/>
    </xf>
    <xf numFmtId="0" fontId="0" fillId="0" borderId="4" pivotButton="0" quotePrefix="0" xfId="0"/>
    <xf numFmtId="0" fontId="0" fillId="0" borderId="25" pivotButton="0" quotePrefix="0" xfId="0"/>
    <xf numFmtId="0" fontId="10" fillId="9" borderId="1" applyAlignment="1" pivotButton="0" quotePrefix="0" xfId="1">
      <alignment horizontal="center" vertical="center"/>
    </xf>
    <xf numFmtId="166" fontId="2" fillId="14" borderId="2" applyAlignment="1" pivotButton="0" quotePrefix="0" xfId="1">
      <alignment horizontal="center" vertical="center"/>
    </xf>
    <xf numFmtId="0" fontId="0" fillId="0" borderId="18" pivotButton="0" quotePrefix="0" xfId="0"/>
    <xf numFmtId="0" fontId="0" fillId="0" borderId="8" pivotButton="0" quotePrefix="0" xfId="0"/>
    <xf numFmtId="165" fontId="5" fillId="3" borderId="2" applyAlignment="1" pivotButton="0" quotePrefix="0" xfId="1">
      <alignment horizontal="center" vertical="center"/>
    </xf>
    <xf numFmtId="166" fontId="11" fillId="14" borderId="1" applyAlignment="1" pivotButton="0" quotePrefix="0" xfId="1">
      <alignment horizontal="center" vertical="center"/>
    </xf>
    <xf numFmtId="0" fontId="0" fillId="0" borderId="19" pivotButton="0" quotePrefix="0" xfId="0"/>
    <xf numFmtId="0" fontId="0" fillId="0" borderId="9" pivotButton="0" quotePrefix="0" xfId="0"/>
    <xf numFmtId="165" fontId="6" fillId="5" borderId="2" applyAlignment="1" pivotButton="0" quotePrefix="0" xfId="1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10" pivotButton="0" quotePrefix="0" xfId="0"/>
    <xf numFmtId="165" fontId="4" fillId="5" borderId="2" applyAlignment="1" pivotButton="0" quotePrefix="0" xfId="1">
      <alignment horizontal="center" vertical="center"/>
    </xf>
    <xf numFmtId="169" fontId="9" fillId="9" borderId="2" applyAlignment="1" pivotButton="0" quotePrefix="0" xfId="1">
      <alignment horizontal="center" vertical="center"/>
    </xf>
    <xf numFmtId="168" fontId="2" fillId="14" borderId="3" applyAlignment="1" pivotButton="0" quotePrefix="0" xfId="1">
      <alignment horizontal="center" vertical="center"/>
    </xf>
    <xf numFmtId="168" fontId="11" fillId="14" borderId="12" applyAlignment="1" pivotButton="0" quotePrefix="0" xfId="1">
      <alignment horizontal="center" vertical="center"/>
    </xf>
    <xf numFmtId="168" fontId="11" fillId="14" borderId="13" applyAlignment="1" pivotButton="0" quotePrefix="0" xfId="1">
      <alignment horizontal="center" vertical="center"/>
    </xf>
    <xf numFmtId="167" fontId="11" fillId="14" borderId="10" applyAlignment="1" pivotButton="0" quotePrefix="0" xfId="1">
      <alignment horizontal="center" vertical="center"/>
    </xf>
    <xf numFmtId="168" fontId="11" fillId="14" borderId="0" applyAlignment="1" pivotButton="0" quotePrefix="0" xfId="1">
      <alignment horizontal="center" vertical="center"/>
    </xf>
    <xf numFmtId="168" fontId="11" fillId="14" borderId="14" applyAlignment="1" pivotButton="0" quotePrefix="0" xfId="1">
      <alignment horizontal="center" vertical="center"/>
    </xf>
    <xf numFmtId="168" fontId="12" fillId="14" borderId="15" applyAlignment="1" pivotButton="0" quotePrefix="0" xfId="1">
      <alignment horizontal="center" vertical="center"/>
    </xf>
    <xf numFmtId="0" fontId="0" fillId="0" borderId="16" pivotButton="0" quotePrefix="0" xfId="0"/>
    <xf numFmtId="168" fontId="2" fillId="14" borderId="17" applyAlignment="1" pivotButton="0" quotePrefix="0" xfId="1">
      <alignment horizontal="center" vertical="center"/>
    </xf>
    <xf numFmtId="165" fontId="13" fillId="9" borderId="23" applyAlignment="1" pivotButton="0" quotePrefix="0" xfId="1">
      <alignment horizontal="center" vertical="center"/>
    </xf>
    <xf numFmtId="165" fontId="13" fillId="9" borderId="24" applyAlignment="1" pivotButton="0" quotePrefix="0" xfId="1">
      <alignment horizontal="center" vertical="center"/>
    </xf>
    <xf numFmtId="165" fontId="13" fillId="9" borderId="11" applyAlignment="1" pivotButton="0" quotePrefix="0" xfId="1">
      <alignment horizontal="center" vertical="center"/>
    </xf>
    <xf numFmtId="165" fontId="14" fillId="10" borderId="22" applyAlignment="1" pivotButton="0" quotePrefix="0" xfId="1">
      <alignment horizontal="left" vertical="top" wrapText="1"/>
    </xf>
    <xf numFmtId="165" fontId="14" fillId="10" borderId="18" applyAlignment="1" pivotButton="0" quotePrefix="0" xfId="1">
      <alignment horizontal="left" vertical="top" wrapText="1"/>
    </xf>
    <xf numFmtId="165" fontId="14" fillId="10" borderId="8" applyAlignment="1" pivotButton="0" quotePrefix="0" xfId="1">
      <alignment horizontal="left" vertical="top" wrapText="1"/>
    </xf>
    <xf numFmtId="165" fontId="14" fillId="10" borderId="19" applyAlignment="1" pivotButton="0" quotePrefix="0" xfId="1">
      <alignment horizontal="left" vertical="top" wrapText="1"/>
    </xf>
    <xf numFmtId="165" fontId="14" fillId="10" borderId="1" applyAlignment="1" pivotButton="0" quotePrefix="0" xfId="1">
      <alignment horizontal="left" vertical="top" wrapText="1"/>
    </xf>
    <xf numFmtId="165" fontId="14" fillId="10" borderId="9" applyAlignment="1" pivotButton="0" quotePrefix="0" xfId="1">
      <alignment horizontal="left" vertical="top" wrapText="1"/>
    </xf>
    <xf numFmtId="166" fontId="14" fillId="10" borderId="2" applyAlignment="1" pivotButton="0" quotePrefix="0" xfId="1">
      <alignment horizontal="center" vertical="center"/>
    </xf>
    <xf numFmtId="166" fontId="15" fillId="10" borderId="0" applyAlignment="1" pivotButton="0" quotePrefix="0" xfId="1">
      <alignment horizontal="center" vertical="center"/>
    </xf>
    <xf numFmtId="167" fontId="15" fillId="10" borderId="0" applyAlignment="1" pivotButton="0" quotePrefix="0" xfId="1">
      <alignment horizontal="center" vertical="center"/>
    </xf>
    <xf numFmtId="165" fontId="14" fillId="10" borderId="20" applyAlignment="1" pivotButton="0" quotePrefix="0" xfId="1">
      <alignment horizontal="left" vertical="top" wrapText="1"/>
    </xf>
    <xf numFmtId="165" fontId="14" fillId="10" borderId="21" applyAlignment="1" pivotButton="0" quotePrefix="0" xfId="1">
      <alignment horizontal="left" vertical="top" wrapText="1"/>
    </xf>
    <xf numFmtId="165" fontId="14" fillId="10" borderId="10" applyAlignment="1" pivotButton="0" quotePrefix="0" xfId="1">
      <alignment horizontal="left" vertical="top" wrapText="1"/>
    </xf>
    <xf numFmtId="165" fontId="1" fillId="0" borderId="0" applyAlignment="1" pivotButton="0" quotePrefix="0" xfId="1">
      <alignment vertical="center"/>
    </xf>
    <xf numFmtId="164" fontId="14" fillId="6" borderId="3" applyAlignment="1" pivotButton="0" quotePrefix="0" xfId="1">
      <alignment horizontal="center" vertical="center" wrapText="1"/>
    </xf>
    <xf numFmtId="166" fontId="14" fillId="6" borderId="3" applyAlignment="1" pivotButton="0" quotePrefix="0" xfId="1">
      <alignment horizontal="center" vertical="center" wrapText="1"/>
    </xf>
    <xf numFmtId="166" fontId="20" fillId="12" borderId="3" applyAlignment="1" pivotButton="0" quotePrefix="0" xfId="1">
      <alignment horizontal="center" vertical="center" wrapText="1"/>
    </xf>
    <xf numFmtId="167" fontId="14" fillId="6" borderId="3" applyAlignment="1" pivotButton="0" quotePrefix="0" xfId="1">
      <alignment horizontal="center" vertical="center" wrapText="1"/>
    </xf>
    <xf numFmtId="164" fontId="14" fillId="5" borderId="3" applyAlignment="1" pivotButton="0" quotePrefix="0" xfId="1">
      <alignment horizontal="center" vertical="center" wrapText="1"/>
    </xf>
    <xf numFmtId="166" fontId="14" fillId="5" borderId="3" applyAlignment="1" pivotButton="0" quotePrefix="0" xfId="1">
      <alignment horizontal="center" vertical="center" wrapText="1"/>
    </xf>
    <xf numFmtId="167" fontId="14" fillId="5" borderId="3" applyAlignment="1" pivotButton="0" quotePrefix="0" xfId="1">
      <alignment horizontal="center" vertical="center" wrapText="1"/>
    </xf>
    <xf numFmtId="164" fontId="14" fillId="10" borderId="3" applyAlignment="1" pivotButton="0" quotePrefix="0" xfId="1">
      <alignment horizontal="left" vertical="center"/>
    </xf>
    <xf numFmtId="3" fontId="14" fillId="10" borderId="3" applyAlignment="1" pivotButton="0" quotePrefix="0" xfId="1">
      <alignment horizontal="left" vertical="center"/>
    </xf>
    <xf numFmtId="10" fontId="14" fillId="10" borderId="3" applyAlignment="1" pivotButton="0" quotePrefix="0" xfId="1">
      <alignment horizontal="left" vertical="center"/>
    </xf>
    <xf numFmtId="166" fontId="14" fillId="10" borderId="3" applyAlignment="1" pivotButton="0" quotePrefix="0" xfId="1">
      <alignment horizontal="left" vertical="center"/>
    </xf>
    <xf numFmtId="0" fontId="0" fillId="0" borderId="27" pivotButton="0" quotePrefix="0" xfId="0"/>
    <xf numFmtId="0" fontId="0" fillId="0" borderId="28" pivotButton="0" quotePrefix="0" xfId="0"/>
    <xf numFmtId="3" fontId="14" fillId="6" borderId="3" applyAlignment="1" pivotButton="0" quotePrefix="0" xfId="1">
      <alignment horizontal="center" vertical="center" wrapText="1"/>
    </xf>
    <xf numFmtId="10" fontId="20" fillId="12" borderId="3" applyAlignment="1" pivotButton="0" quotePrefix="0" xfId="1">
      <alignment horizontal="center" vertical="center" wrapText="1"/>
    </xf>
    <xf numFmtId="10" fontId="14" fillId="6" borderId="3" applyAlignment="1" pivotButton="0" quotePrefix="0" xfId="1">
      <alignment horizontal="center" vertical="center" wrapText="1"/>
    </xf>
    <xf numFmtId="3" fontId="14" fillId="5" borderId="3" applyAlignment="1" pivotButton="0" quotePrefix="0" xfId="1">
      <alignment horizontal="center" vertical="center" wrapText="1"/>
    </xf>
    <xf numFmtId="10" fontId="14" fillId="5" borderId="3" applyAlignment="1" pivotButton="0" quotePrefix="0" xfId="1">
      <alignment horizontal="center" vertical="center" wrapText="1"/>
    </xf>
    <xf numFmtId="10" fontId="4" fillId="5" borderId="3" applyAlignment="1" pivotButton="0" quotePrefix="0" xfId="1">
      <alignment horizontal="left" vertical="center"/>
    </xf>
  </cellXfs>
  <cellStyles count="2">
    <cellStyle name="표준" xfId="0" builtinId="0"/>
    <cellStyle name="Normal" xfId="1"/>
  </cellStyles>
  <dxfs count="5">
    <dxf>
      <font>
        <color rgb="FF6B7280"/>
      </font>
      <fill>
        <patternFill patternType="solid">
          <bgColor rgb="FFF3F4F6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ko-KR" altLang="en-US"/>
              <a:t xml:space="preserve">목표 자산 </a:t>
            </a:r>
            <a:r>
              <a:rPr lang="en-US"/>
              <a:t xml:space="preserve">vs </a:t>
            </a:r>
            <a:r>
              <a:rPr lang="ko-KR" altLang="en-US"/>
              <a:t>실제 자산</a:t>
            </a:r>
          </a:p>
        </rich>
      </tx>
      <layout/>
      <overlay val="0"/>
    </title>
    <plotArea>
      <layout/>
      <lineChart>
        <grouping val="standard"/>
        <varyColors val="1"/>
        <ser>
          <idx val="0"/>
          <order val="0"/>
          <tx>
            <v>Target Asset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Dashboard!$O$3:$O$43</f>
              <strCache>
                <ptCount val="41"/>
                <pt idx="0">
                  <v>2026-06</v>
                </pt>
                <pt idx="1">
                  <v>2026-07</v>
                </pt>
                <pt idx="2">
                  <v>2026-08</v>
                </pt>
                <pt idx="3">
                  <v>2026-09</v>
                </pt>
                <pt idx="4">
                  <v>2026-10</v>
                </pt>
                <pt idx="5">
                  <v>2026-11</v>
                </pt>
                <pt idx="6">
                  <v>2026-12</v>
                </pt>
                <pt idx="7">
                  <v>2027-01</v>
                </pt>
                <pt idx="8">
                  <v>2027-02</v>
                </pt>
                <pt idx="9">
                  <v>2027-03</v>
                </pt>
                <pt idx="10">
                  <v>2027-06</v>
                </pt>
                <pt idx="11">
                  <v>2027-07</v>
                </pt>
                <pt idx="12">
                  <v>2027-08</v>
                </pt>
                <pt idx="13">
                  <v>2027-09</v>
                </pt>
                <pt idx="14">
                  <v>2027-10</v>
                </pt>
                <pt idx="15">
                  <v>2027-11</v>
                </pt>
                <pt idx="16">
                  <v>2027-12</v>
                </pt>
                <pt idx="17">
                  <v>2028-01</v>
                </pt>
                <pt idx="18">
                  <v>2028-02</v>
                </pt>
                <pt idx="19">
                  <v>2028-03</v>
                </pt>
                <pt idx="20">
                  <v>2028-04</v>
                </pt>
                <pt idx="21">
                  <v>2028-05</v>
                </pt>
                <pt idx="22">
                  <v>2028-06</v>
                </pt>
                <pt idx="23">
                  <v>2028-07</v>
                </pt>
                <pt idx="24">
                  <v>2028-08</v>
                </pt>
                <pt idx="25">
                  <v>2028-09</v>
                </pt>
                <pt idx="26">
                  <v>2028-10</v>
                </pt>
                <pt idx="27">
                  <v>2028-11</v>
                </pt>
                <pt idx="28">
                  <v>2028-12</v>
                </pt>
                <pt idx="29">
                  <v>2029-01</v>
                </pt>
                <pt idx="30">
                  <v>2029-02</v>
                </pt>
                <pt idx="31">
                  <v>2029-03</v>
                </pt>
                <pt idx="32">
                  <v>2029-04</v>
                </pt>
                <pt idx="33">
                  <v>2029-05</v>
                </pt>
                <pt idx="34">
                  <v>2029-06</v>
                </pt>
                <pt idx="35">
                  <v>2029-07</v>
                </pt>
                <pt idx="36">
                  <v>2029-08</v>
                </pt>
                <pt idx="37">
                  <v>2029-09</v>
                </pt>
                <pt idx="38">
                  <v>2029-10</v>
                </pt>
                <pt idx="39">
                  <v>2029-11</v>
                </pt>
                <pt idx="40">
                  <v>2029-12</v>
                </pt>
              </strCache>
            </strRef>
          </cat>
          <val>
            <numRef>
              <f>Dashboard!$P$3:$P$43</f>
              <numCache>
                <formatCode>\₩#,##0</formatCode>
                <ptCount val="4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</numCache>
            </numRef>
          </val>
          <smooth val="0"/>
        </ser>
        <ser>
          <idx val="1"/>
          <order val="1"/>
          <tx>
            <v>Actual Asset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Dashboard!$O$3:$O$43</f>
              <strCache>
                <ptCount val="41"/>
                <pt idx="0">
                  <v>2026-06</v>
                </pt>
                <pt idx="1">
                  <v>2026-07</v>
                </pt>
                <pt idx="2">
                  <v>2026-08</v>
                </pt>
                <pt idx="3">
                  <v>2026-09</v>
                </pt>
                <pt idx="4">
                  <v>2026-10</v>
                </pt>
                <pt idx="5">
                  <v>2026-11</v>
                </pt>
                <pt idx="6">
                  <v>2026-12</v>
                </pt>
                <pt idx="7">
                  <v>2027-01</v>
                </pt>
                <pt idx="8">
                  <v>2027-02</v>
                </pt>
                <pt idx="9">
                  <v>2027-03</v>
                </pt>
                <pt idx="10">
                  <v>2027-06</v>
                </pt>
                <pt idx="11">
                  <v>2027-07</v>
                </pt>
                <pt idx="12">
                  <v>2027-08</v>
                </pt>
                <pt idx="13">
                  <v>2027-09</v>
                </pt>
                <pt idx="14">
                  <v>2027-10</v>
                </pt>
                <pt idx="15">
                  <v>2027-11</v>
                </pt>
                <pt idx="16">
                  <v>2027-12</v>
                </pt>
                <pt idx="17">
                  <v>2028-01</v>
                </pt>
                <pt idx="18">
                  <v>2028-02</v>
                </pt>
                <pt idx="19">
                  <v>2028-03</v>
                </pt>
                <pt idx="20">
                  <v>2028-04</v>
                </pt>
                <pt idx="21">
                  <v>2028-05</v>
                </pt>
                <pt idx="22">
                  <v>2028-06</v>
                </pt>
                <pt idx="23">
                  <v>2028-07</v>
                </pt>
                <pt idx="24">
                  <v>2028-08</v>
                </pt>
                <pt idx="25">
                  <v>2028-09</v>
                </pt>
                <pt idx="26">
                  <v>2028-10</v>
                </pt>
                <pt idx="27">
                  <v>2028-11</v>
                </pt>
                <pt idx="28">
                  <v>2028-12</v>
                </pt>
                <pt idx="29">
                  <v>2029-01</v>
                </pt>
                <pt idx="30">
                  <v>2029-02</v>
                </pt>
                <pt idx="31">
                  <v>2029-03</v>
                </pt>
                <pt idx="32">
                  <v>2029-04</v>
                </pt>
                <pt idx="33">
                  <v>2029-05</v>
                </pt>
                <pt idx="34">
                  <v>2029-06</v>
                </pt>
                <pt idx="35">
                  <v>2029-07</v>
                </pt>
                <pt idx="36">
                  <v>2029-08</v>
                </pt>
                <pt idx="37">
                  <v>2029-09</v>
                </pt>
                <pt idx="38">
                  <v>2029-10</v>
                </pt>
                <pt idx="39">
                  <v>2029-11</v>
                </pt>
                <pt idx="40">
                  <v>2029-12</v>
                </pt>
              </strCache>
            </strRef>
          </cat>
          <val>
            <numRef>
              <f>Dashboard!$Q$3:$Q$43</f>
              <numCache>
                <formatCode>\₩#,##0</formatCode>
                <ptCount val="4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22112048"/>
        <axId val="622105520"/>
      </lineChart>
      <catAx>
        <axId val="622112048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622105520"/>
        <crosses val="autoZero"/>
        <auto val="1"/>
        <lblAlgn val="ctr"/>
        <lblOffset val="100"/>
        <noMultiLvlLbl val="0"/>
      </catAx>
      <valAx>
        <axId val="6221055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\₩#,##0" sourceLinked="1"/>
        <majorTickMark val="none"/>
        <minorTickMark val="none"/>
        <tickLblPos val="nextTo"/>
        <crossAx val="622112048"/>
        <crosses val="autoZero"/>
        <crossBetween val="between"/>
      </valAx>
    </plotArea>
    <legend>
      <legendPos val="b"/>
      <layout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22</row>
      <rowOff>0</rowOff>
    </from>
    <to>
      <col>8</col>
      <colOff>600075</colOff>
      <row>43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MonthlyTrackerTable" displayName="MonthlyTrackerTable" ref="A2:L45" headerRowCount="1">
  <tableColumns count="12">
    <tableColumn id="1" name="Month"/>
    <tableColumn id="2" name="Month #"/>
    <tableColumn id="3" name="Target Asset (KRW)"/>
    <tableColumn id="4" name="Target Monthly Gain (KRW)"/>
    <tableColumn id="5" name="Actual Asset (KRW)"/>
    <tableColumn id="6" name="Actual Monthly Gain (KRW)"/>
    <tableColumn id="7" name="Actual Monthly Return"/>
    <tableColumn id="8" name="Gap vs Target (KRW)"/>
    <tableColumn id="9" name="Achievement Rate"/>
    <tableColumn id="10" name="Next Month Required Return"/>
    <tableColumn id="11" name="Status"/>
    <tableColumn id="12" name="Mem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"/>
  <sheetViews>
    <sheetView showGridLines="0" topLeftCell="A22" workbookViewId="0">
      <selection activeCell="G17" sqref="G17"/>
    </sheetView>
  </sheetViews>
  <sheetFormatPr baseColWidth="8" defaultRowHeight="14.25"/>
  <cols>
    <col width="53.75" customWidth="1" min="1" max="1"/>
    <col width="18" customWidth="1" min="2" max="3"/>
    <col width="3" customWidth="1" min="4" max="4"/>
    <col width="16.25" customWidth="1" min="5" max="5"/>
    <col width="10.375" customWidth="1" min="6" max="6"/>
    <col width="18" customWidth="1" min="7" max="7"/>
    <col width="3" customWidth="1" min="8" max="8"/>
    <col width="28.625" customWidth="1" min="9" max="9"/>
    <col width="18" customWidth="1" min="10" max="13"/>
    <col width="3" customWidth="1" min="14" max="14"/>
    <col width="16" customWidth="1" min="15" max="17"/>
  </cols>
  <sheetData>
    <row r="1" ht="33.95" customHeight="1">
      <c r="A1" s="67" t="n">
        <v>2030</v>
      </c>
      <c r="N1" s="1" t="n"/>
      <c r="O1" s="1" t="inlineStr">
        <is>
          <t>Chart Data</t>
        </is>
      </c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4" customHeight="1">
      <c r="N2" s="1" t="n"/>
      <c r="O2" s="29" t="inlineStr">
        <is>
          <t>Month</t>
        </is>
      </c>
      <c r="P2" s="29" t="inlineStr">
        <is>
          <t>Target Asset</t>
        </is>
      </c>
      <c r="Q2" s="29" t="inlineStr">
        <is>
          <t>Actual Asset</t>
        </is>
      </c>
      <c r="R2" s="1" t="n"/>
      <c r="S2" s="1" t="n"/>
      <c r="T2" s="1" t="n"/>
      <c r="U2" s="1" t="n"/>
      <c r="V2" s="1" t="n"/>
      <c r="W2" s="1" t="n"/>
      <c r="X2" s="1" t="n"/>
      <c r="Y2" s="1" t="n"/>
    </row>
    <row r="3" ht="20.1" customHeight="1">
      <c r="A3" s="96" t="n"/>
      <c r="B3" s="2" t="n"/>
      <c r="C3" s="72" t="n"/>
      <c r="D3" s="97" t="n"/>
      <c r="E3" s="97" t="n"/>
      <c r="F3" s="97" t="n"/>
      <c r="G3" s="98" t="n"/>
      <c r="H3" s="2" t="n"/>
      <c r="I3" s="2" t="n"/>
      <c r="J3" s="2" t="n"/>
      <c r="K3" s="2" t="n"/>
      <c r="L3" s="2" t="n"/>
      <c r="M3" s="2" t="n"/>
      <c r="N3" s="1" t="n"/>
      <c r="O3" s="99">
        <f>TEXT('Monthly Tracker'!A3,"yyyy-mm")</f>
        <v/>
      </c>
      <c r="P3" s="100">
        <f>'Monthly Tracker'!C3</f>
        <v/>
      </c>
      <c r="Q3" s="100">
        <f>'Monthly Tracker'!F3</f>
        <v/>
      </c>
      <c r="R3" s="1" t="n"/>
      <c r="S3" s="1" t="n"/>
      <c r="T3" s="1" t="n"/>
      <c r="U3" s="1" t="n"/>
      <c r="V3" s="1" t="n"/>
      <c r="W3" s="1" t="n"/>
      <c r="X3" s="1" t="n"/>
      <c r="Y3" s="1" t="n"/>
    </row>
    <row r="4" ht="20.1" customHeight="1">
      <c r="A4" s="101" t="inlineStr">
        <is>
          <t>시작 자산</t>
        </is>
      </c>
      <c r="B4" s="102" t="n"/>
      <c r="C4" s="103" t="n"/>
      <c r="D4" s="3" t="n"/>
      <c r="E4" s="104" t="inlineStr">
        <is>
          <t>2029-12 목표</t>
        </is>
      </c>
      <c r="H4" s="2" t="n"/>
      <c r="I4" s="104" t="inlineStr">
        <is>
          <t>최종 예상 목표액</t>
        </is>
      </c>
      <c r="L4" s="2" t="n"/>
      <c r="M4" s="2" t="n"/>
      <c r="N4" s="1" t="n"/>
      <c r="O4" s="99">
        <f>TEXT('Monthly Tracker'!A4,"yyyy-mm")</f>
        <v/>
      </c>
      <c r="P4" s="100">
        <f>'Monthly Tracker'!C4</f>
        <v/>
      </c>
      <c r="Q4" s="100">
        <f>'Monthly Tracker'!F4</f>
        <v/>
      </c>
      <c r="R4" s="1" t="n"/>
      <c r="S4" s="1" t="n"/>
      <c r="T4" s="1" t="n"/>
      <c r="U4" s="1" t="n"/>
      <c r="V4" s="1" t="n"/>
      <c r="W4" s="1" t="n"/>
      <c r="X4" s="1" t="n"/>
      <c r="Y4" s="1" t="n"/>
    </row>
    <row r="5" ht="24" customHeight="1">
      <c r="A5" s="105">
        <f>CONCATENATE("₩ ",TEXT(Assumptions!$B$5,"#,##0"))</f>
        <v/>
      </c>
      <c r="B5" s="106" t="n"/>
      <c r="C5" s="107" t="n"/>
      <c r="D5" s="108" t="n"/>
      <c r="E5" s="105">
        <f>CONCATENATE("₩ ",TEXT(Assumptions!$B$7,"#,##0"))</f>
        <v/>
      </c>
      <c r="F5" s="106" t="n"/>
      <c r="G5" s="107" t="n"/>
      <c r="H5" s="2" t="n"/>
      <c r="I5" s="109">
        <f>CONCATENATE("₩ ",TEXT('Monthly Tracker'!$C$45,"#,##0"))</f>
        <v/>
      </c>
      <c r="L5" s="2" t="n"/>
      <c r="M5" s="2" t="n"/>
      <c r="N5" s="1" t="n"/>
      <c r="O5" s="99">
        <f>TEXT('Monthly Tracker'!A5,"yyyy-mm")</f>
        <v/>
      </c>
      <c r="P5" s="100">
        <f>'Monthly Tracker'!C5</f>
        <v/>
      </c>
      <c r="Q5" s="100">
        <f>'Monthly Tracker'!F5</f>
        <v/>
      </c>
      <c r="R5" s="1" t="n"/>
      <c r="S5" s="1" t="n"/>
      <c r="T5" s="1" t="n"/>
      <c r="U5" s="1" t="n"/>
      <c r="V5" s="1" t="n"/>
      <c r="W5" s="1" t="n"/>
      <c r="X5" s="1" t="n"/>
      <c r="Y5" s="1" t="n"/>
    </row>
    <row r="6" ht="20.1" customHeight="1">
      <c r="A6" s="110" t="n"/>
      <c r="C6" s="111" t="n"/>
      <c r="D6" s="112" t="n"/>
      <c r="E6" s="110" t="n"/>
      <c r="G6" s="111" t="n"/>
      <c r="H6" s="2" t="n"/>
      <c r="L6" s="2" t="n"/>
      <c r="M6" s="2" t="n"/>
      <c r="N6" s="1" t="n"/>
      <c r="O6" s="99">
        <f>TEXT('Monthly Tracker'!A6,"yyyy-mm")</f>
        <v/>
      </c>
      <c r="P6" s="100">
        <f>'Monthly Tracker'!C6</f>
        <v/>
      </c>
      <c r="Q6" s="100">
        <f>'Monthly Tracker'!F6</f>
        <v/>
      </c>
      <c r="R6" s="1" t="n"/>
      <c r="S6" s="1" t="n"/>
      <c r="T6" s="1" t="n"/>
      <c r="U6" s="1" t="n"/>
      <c r="V6" s="1" t="n"/>
      <c r="W6" s="1" t="n"/>
      <c r="X6" s="1" t="n"/>
      <c r="Y6" s="1" t="n"/>
    </row>
    <row r="7" ht="20.1" customHeight="1">
      <c r="A7" s="113" t="n"/>
      <c r="B7" s="114" t="n"/>
      <c r="C7" s="115" t="n"/>
      <c r="D7" s="112" t="n"/>
      <c r="E7" s="113" t="n"/>
      <c r="F7" s="114" t="n"/>
      <c r="G7" s="115" t="n"/>
      <c r="H7" s="2" t="n"/>
      <c r="L7" s="2" t="n"/>
      <c r="M7" s="2" t="n"/>
      <c r="N7" s="1" t="n"/>
      <c r="O7" s="99">
        <f>TEXT('Monthly Tracker'!A7,"yyyy-mm")</f>
        <v/>
      </c>
      <c r="P7" s="100">
        <f>'Monthly Tracker'!C7</f>
        <v/>
      </c>
      <c r="Q7" s="100">
        <f>'Monthly Tracker'!F7</f>
        <v/>
      </c>
      <c r="R7" s="1" t="n"/>
      <c r="S7" s="1" t="n"/>
      <c r="T7" s="1" t="n"/>
      <c r="U7" s="1" t="n"/>
      <c r="V7" s="1" t="n"/>
      <c r="W7" s="1" t="n"/>
      <c r="X7" s="1" t="n"/>
      <c r="Y7" s="1" t="n"/>
    </row>
    <row r="8" ht="20.1" customHeight="1">
      <c r="A8" s="116" t="n"/>
      <c r="B8" s="8" t="n"/>
      <c r="C8" s="3" t="n"/>
      <c r="D8" s="112" t="n"/>
      <c r="E8" s="8" t="n"/>
      <c r="F8" s="8" t="n"/>
      <c r="G8" s="2" t="n"/>
      <c r="H8" s="2" t="n"/>
      <c r="I8" s="2" t="n"/>
      <c r="J8" s="2" t="n"/>
      <c r="K8" s="2" t="n"/>
      <c r="L8" s="2" t="n"/>
      <c r="M8" s="2" t="n"/>
      <c r="N8" s="1" t="n"/>
      <c r="O8" s="99">
        <f>TEXT('Monthly Tracker'!A8,"yyyy-mm")</f>
        <v/>
      </c>
      <c r="P8" s="100">
        <f>'Monthly Tracker'!C8</f>
        <v/>
      </c>
      <c r="Q8" s="100">
        <f>'Monthly Tracker'!F8</f>
        <v/>
      </c>
      <c r="R8" s="1" t="n"/>
      <c r="S8" s="1" t="n"/>
      <c r="T8" s="1" t="n"/>
      <c r="U8" s="1" t="n"/>
      <c r="V8" s="1" t="n"/>
      <c r="W8" s="1" t="n"/>
      <c r="X8" s="1" t="n"/>
      <c r="Y8" s="1" t="n"/>
    </row>
    <row r="9" ht="20.1" customHeight="1">
      <c r="A9" s="117" t="inlineStr">
        <is>
          <t>필요 배수</t>
        </is>
      </c>
      <c r="B9" s="97" t="n"/>
      <c r="C9" s="98" t="n"/>
      <c r="D9" s="7" t="n"/>
      <c r="E9" s="74" t="inlineStr">
        <is>
          <t>월 목표 수익률 (Phase 1)</t>
        </is>
      </c>
      <c r="F9" s="97" t="n"/>
      <c r="G9" s="98" t="n"/>
      <c r="H9" s="2" t="n"/>
      <c r="I9" s="104" t="inlineStr">
        <is>
          <t>10억 대비 Gap</t>
        </is>
      </c>
      <c r="L9" s="2" t="n"/>
      <c r="M9" s="2" t="n"/>
      <c r="N9" s="1" t="n"/>
      <c r="O9" s="99">
        <f>TEXT('Monthly Tracker'!A9,"yyyy-mm")</f>
        <v/>
      </c>
      <c r="P9" s="100">
        <f>'Monthly Tracker'!C9</f>
        <v/>
      </c>
      <c r="Q9" s="100">
        <f>'Monthly Tracker'!F9</f>
        <v/>
      </c>
      <c r="R9" s="1" t="n"/>
      <c r="S9" s="1" t="n"/>
      <c r="T9" s="1" t="n"/>
      <c r="U9" s="1" t="n"/>
      <c r="V9" s="1" t="n"/>
      <c r="W9" s="1" t="n"/>
      <c r="X9" s="1" t="n"/>
      <c r="Y9" s="1" t="n"/>
    </row>
    <row r="10" ht="20.1" customHeight="1">
      <c r="A10" s="118">
        <f>TEXT(Assumptions!$B$7/Assumptions!$B$5,"0.0x")</f>
        <v/>
      </c>
      <c r="B10" s="119" t="n"/>
      <c r="C10" s="120" t="n"/>
      <c r="D10" s="2" t="n"/>
      <c r="E10" s="121">
        <f>TEXT(Assumptions!$B$6,"0.0%")</f>
        <v/>
      </c>
      <c r="G10" s="111" t="n"/>
      <c r="H10" s="2" t="n"/>
      <c r="I10" s="109">
        <f>CONCATENATE("₩ ",TEXT(Assumptions!$B$7-'Monthly Tracker'!$C$45,"#,##0"))</f>
        <v/>
      </c>
      <c r="L10" s="2" t="n"/>
      <c r="M10" s="2" t="n"/>
      <c r="N10" s="1" t="n"/>
      <c r="O10" s="99">
        <f>TEXT('Monthly Tracker'!A10,"yyyy-mm")</f>
        <v/>
      </c>
      <c r="P10" s="100">
        <f>'Monthly Tracker'!C10</f>
        <v/>
      </c>
      <c r="Q10" s="100">
        <f>'Monthly Tracker'!F10</f>
        <v/>
      </c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20.1" customHeight="1">
      <c r="A11" s="118" t="n"/>
      <c r="B11" s="122" t="n"/>
      <c r="C11" s="123" t="n"/>
      <c r="D11" s="2" t="n"/>
      <c r="G11" s="111" t="n"/>
      <c r="H11" s="2" t="n"/>
      <c r="L11" s="2" t="n"/>
      <c r="M11" s="2" t="n"/>
      <c r="N11" s="1" t="n"/>
      <c r="O11" s="99">
        <f>TEXT('Monthly Tracker'!A11,"yyyy-mm")</f>
        <v/>
      </c>
      <c r="P11" s="100">
        <f>'Monthly Tracker'!C11</f>
        <v/>
      </c>
      <c r="Q11" s="100">
        <f>'Monthly Tracker'!F11</f>
        <v/>
      </c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20.1" customHeight="1">
      <c r="A12" s="124" t="n"/>
      <c r="B12" s="125" t="n"/>
      <c r="C12" s="126" t="n"/>
      <c r="D12" s="94" t="n"/>
      <c r="E12" s="114" t="n"/>
      <c r="F12" s="114" t="n"/>
      <c r="G12" s="115" t="n"/>
      <c r="H12" s="2" t="n"/>
      <c r="L12" s="2" t="n"/>
      <c r="M12" s="2" t="n"/>
      <c r="N12" s="1" t="n"/>
      <c r="O12" s="99">
        <f>TEXT('Monthly Tracker'!A12,"yyyy-mm")</f>
        <v/>
      </c>
      <c r="P12" s="100">
        <f>'Monthly Tracker'!C12</f>
        <v/>
      </c>
      <c r="Q12" s="100">
        <f>'Monthly Tracker'!F12</f>
        <v/>
      </c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20.1" customHeight="1">
      <c r="A13" s="127" t="n"/>
      <c r="B13" s="128" t="n"/>
      <c r="C13" s="129" t="n"/>
      <c r="D13" s="7" t="n"/>
      <c r="E13" s="68" t="inlineStr">
        <is>
          <t>핵심 진행 상황</t>
        </is>
      </c>
      <c r="F13" s="97" t="n"/>
      <c r="G13" s="97" t="n"/>
      <c r="H13" s="97" t="n"/>
      <c r="I13" s="97" t="n"/>
      <c r="J13" s="97" t="n"/>
      <c r="K13" s="98" t="n"/>
      <c r="L13" s="2" t="n"/>
      <c r="M13" s="2" t="n"/>
      <c r="N13" s="1" t="n"/>
      <c r="O13" s="99">
        <f>TEXT('Monthly Tracker'!A15,"yyyy-mm")</f>
        <v/>
      </c>
      <c r="P13" s="100">
        <f>'Monthly Tracker'!C15</f>
        <v/>
      </c>
      <c r="Q13" s="100">
        <f>'Monthly Tracker'!F15</f>
        <v/>
      </c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24" customHeight="1">
      <c r="A14" s="130" t="n"/>
      <c r="B14" s="131" t="n"/>
      <c r="C14" s="132" t="n"/>
      <c r="D14" s="7" t="n"/>
      <c r="E14" s="23" t="inlineStr">
        <is>
          <t>항목</t>
        </is>
      </c>
      <c r="F14" s="23" t="inlineStr">
        <is>
          <t>값</t>
        </is>
      </c>
      <c r="G14" s="23" t="n"/>
      <c r="H14" s="24" t="n"/>
      <c r="I14" s="24" t="n"/>
      <c r="J14" s="24" t="n"/>
      <c r="K14" s="25" t="n"/>
      <c r="L14" s="2" t="n"/>
      <c r="M14" s="2" t="n"/>
      <c r="N14" s="1" t="n"/>
      <c r="O14" s="99">
        <f>TEXT('Monthly Tracker'!A16,"yyyy-mm")</f>
        <v/>
      </c>
      <c r="P14" s="100">
        <f>'Monthly Tracker'!C16</f>
        <v/>
      </c>
      <c r="Q14" s="100">
        <f>'Monthly Tracker'!F16</f>
        <v/>
      </c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20.1" customHeight="1">
      <c r="A15" s="133" t="n"/>
      <c r="B15" s="134" t="n"/>
      <c r="C15" s="135" t="n"/>
      <c r="D15" s="7" t="n"/>
      <c r="E15" s="16" t="inlineStr">
        <is>
          <t>기간 개월 수</t>
        </is>
      </c>
      <c r="F15" s="16">
        <f>COUNT('Monthly Tracker'!$A$3:$A$45)</f>
        <v/>
      </c>
      <c r="G15" s="16" t="n"/>
      <c r="H15" s="17" t="n"/>
      <c r="I15" s="17" t="n"/>
      <c r="J15" s="17" t="n"/>
      <c r="K15" s="18" t="n"/>
      <c r="L15" s="2" t="n"/>
      <c r="M15" s="2" t="n"/>
      <c r="N15" s="1" t="n"/>
      <c r="O15" s="99">
        <f>TEXT('Monthly Tracker'!A17,"yyyy-mm")</f>
        <v/>
      </c>
      <c r="P15" s="100">
        <f>'Monthly Tracker'!C17</f>
        <v/>
      </c>
      <c r="Q15" s="100">
        <f>'Monthly Tracker'!F17</f>
        <v/>
      </c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20.1" customHeight="1">
      <c r="A16" s="133" t="n"/>
      <c r="B16" s="134" t="n"/>
      <c r="C16" s="135" t="n"/>
      <c r="D16" s="7" t="n"/>
      <c r="E16" s="16" t="inlineStr">
        <is>
          <t>최근 입력 실제 자산</t>
        </is>
      </c>
      <c r="F16" s="136">
        <f>CONCATENATE("₩ ",TEXT(IFERROR(LOOKUP(2,1/('Monthly Tracker'!$F$3:$E$45&lt;&gt;""),'Monthly Tracker'!$F$3:$E$45),Assumptions!$B$5),"#,##0"))</f>
        <v/>
      </c>
      <c r="G16" s="16" t="n"/>
      <c r="H16" s="17" t="n"/>
      <c r="I16" s="17" t="n"/>
      <c r="J16" s="17" t="n"/>
      <c r="K16" s="18" t="n"/>
      <c r="L16" s="2" t="n"/>
      <c r="M16" s="2" t="n"/>
      <c r="N16" s="1" t="n"/>
      <c r="O16" s="99">
        <f>TEXT('Monthly Tracker'!A18,"yyyy-mm")</f>
        <v/>
      </c>
      <c r="P16" s="100">
        <f>'Monthly Tracker'!C18</f>
        <v/>
      </c>
      <c r="Q16" s="100">
        <f>'Monthly Tracker'!F18</f>
        <v/>
      </c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20.1" customHeight="1">
      <c r="A17" s="133" t="n"/>
      <c r="B17" s="134" t="n"/>
      <c r="C17" s="135" t="n"/>
      <c r="D17" s="2" t="n"/>
      <c r="E17" s="19" t="inlineStr">
        <is>
          <t>최근 목표 대비 Gap</t>
        </is>
      </c>
      <c r="F17" s="137">
        <f>IFERROR(CONCATENATE("₩ ",TEXT(LOOKUP(2,1/('Monthly Tracker'!$F$3:$E$45&lt;&gt;""),'Monthly Tracker'!$I$3:$H$45),"#,##0")),"")</f>
        <v/>
      </c>
      <c r="G17" s="17" t="n"/>
      <c r="H17" s="17" t="n"/>
      <c r="I17" s="17" t="n"/>
      <c r="J17" s="17" t="n"/>
      <c r="K17" s="18" t="n"/>
      <c r="L17" s="2" t="n"/>
      <c r="M17" s="2" t="n"/>
      <c r="N17" s="1" t="n"/>
      <c r="O17" s="99">
        <f>TEXT('Monthly Tracker'!A19,"yyyy-mm")</f>
        <v/>
      </c>
      <c r="P17" s="100">
        <f>'Monthly Tracker'!C19</f>
        <v/>
      </c>
      <c r="Q17" s="100">
        <f>'Monthly Tracker'!F19</f>
        <v/>
      </c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20.1" customHeight="1">
      <c r="A18" s="133" t="n"/>
      <c r="B18" s="134" t="n"/>
      <c r="C18" s="135" t="n"/>
      <c r="D18" s="2" t="n"/>
      <c r="E18" s="19" t="inlineStr">
        <is>
          <t>최근 달성률</t>
        </is>
      </c>
      <c r="F18" s="138">
        <f>IFERROR(TEXT(LOOKUP(2,1/('Monthly Tracker'!$F$3:$E$45&lt;&gt;""),'Monthly Tracker'!$J$3:$I$45),"0.0%"),"")</f>
        <v/>
      </c>
      <c r="G18" s="17" t="n"/>
      <c r="H18" s="17" t="n"/>
      <c r="I18" s="17" t="n"/>
      <c r="J18" s="17" t="n"/>
      <c r="K18" s="18" t="n"/>
      <c r="L18" s="2" t="n"/>
      <c r="M18" s="2" t="n"/>
      <c r="N18" s="1" t="n"/>
      <c r="O18" s="99">
        <f>TEXT('Monthly Tracker'!A20,"yyyy-mm")</f>
        <v/>
      </c>
      <c r="P18" s="100">
        <f>'Monthly Tracker'!C20</f>
        <v/>
      </c>
      <c r="Q18" s="100">
        <f>'Monthly Tracker'!F20</f>
        <v/>
      </c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20.1" customHeight="1">
      <c r="A19" s="133" t="n"/>
      <c r="B19" s="134" t="n"/>
      <c r="C19" s="135" t="n"/>
      <c r="D19" s="2" t="n"/>
      <c r="E19" s="20" t="inlineStr">
        <is>
          <t>현재 상태</t>
        </is>
      </c>
      <c r="F19" s="21">
        <f>IF(IFERROR(LOOKUP(2,1/('Monthly Tracker'!$F$3:$E$45&lt;&gt;""),'Monthly Tracker'!$F$3:$E$45),Assumptions!$B$5)&gt;=LOOKUP(2,1/('Monthly Tracker'!$C$3:$C$45&lt;&gt;""),'Monthly Tracker'!$C$3:$C$45),"On Track","Input / Behind")</f>
        <v/>
      </c>
      <c r="G19" s="21" t="n"/>
      <c r="H19" s="21" t="n"/>
      <c r="I19" s="21" t="n"/>
      <c r="J19" s="21" t="n"/>
      <c r="K19" s="22" t="n"/>
      <c r="L19" s="2" t="n"/>
      <c r="M19" s="2" t="n"/>
      <c r="N19" s="1" t="n"/>
      <c r="O19" s="99">
        <f>TEXT('Monthly Tracker'!A21,"yyyy-mm")</f>
        <v/>
      </c>
      <c r="P19" s="100">
        <f>'Monthly Tracker'!C21</f>
        <v/>
      </c>
      <c r="Q19" s="100">
        <f>'Monthly Tracker'!F21</f>
        <v/>
      </c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20.1" customHeight="1">
      <c r="A20" s="133" t="n"/>
      <c r="B20" s="134" t="n"/>
      <c r="C20" s="135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1" t="n"/>
      <c r="O20" s="99">
        <f>TEXT('Monthly Tracker'!A22,"yyyy-mm")</f>
        <v/>
      </c>
      <c r="P20" s="100">
        <f>'Monthly Tracker'!C22</f>
        <v/>
      </c>
      <c r="Q20" s="100">
        <f>'Monthly Tracker'!F22</f>
        <v/>
      </c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20.1" customHeight="1">
      <c r="A21" s="133" t="n"/>
      <c r="B21" s="134" t="n"/>
      <c r="C21" s="135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1" t="n"/>
      <c r="O21" s="99">
        <f>TEXT('Monthly Tracker'!A23,"yyyy-mm")</f>
        <v/>
      </c>
      <c r="P21" s="100">
        <f>'Monthly Tracker'!C23</f>
        <v/>
      </c>
      <c r="Q21" s="100">
        <f>'Monthly Tracker'!F23</f>
        <v/>
      </c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20.1" customHeight="1">
      <c r="A22" s="139" t="n"/>
      <c r="B22" s="140" t="n"/>
      <c r="C22" s="141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1" t="n"/>
      <c r="O22" s="99">
        <f>TEXT('Monthly Tracker'!A24,"yyyy-mm")</f>
        <v/>
      </c>
      <c r="P22" s="100">
        <f>'Monthly Tracker'!C24</f>
        <v/>
      </c>
      <c r="Q22" s="100">
        <f>'Monthly Tracker'!F24</f>
        <v/>
      </c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20.1" customHeight="1">
      <c r="A23" s="142" t="n"/>
      <c r="B23" s="142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99">
        <f>TEXT('Monthly Tracker'!A25,"yyyy-mm")</f>
        <v/>
      </c>
      <c r="P23" s="100">
        <f>'Monthly Tracker'!C25</f>
        <v/>
      </c>
      <c r="Q23" s="100">
        <f>'Monthly Tracker'!F25</f>
        <v/>
      </c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20.1" customHeight="1">
      <c r="A24" s="142" t="n"/>
      <c r="B24" s="142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99">
        <f>TEXT('Monthly Tracker'!A26,"yyyy-mm")</f>
        <v/>
      </c>
      <c r="P24" s="100">
        <f>'Monthly Tracker'!C26</f>
        <v/>
      </c>
      <c r="Q24" s="100">
        <f>'Monthly Tracker'!F26</f>
        <v/>
      </c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20.1" customHeight="1">
      <c r="A25" s="142" t="n"/>
      <c r="B25" s="142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99">
        <f>TEXT('Monthly Tracker'!A27,"yyyy-mm")</f>
        <v/>
      </c>
      <c r="P25" s="100">
        <f>'Monthly Tracker'!C27</f>
        <v/>
      </c>
      <c r="Q25" s="100">
        <f>'Monthly Tracker'!F27</f>
        <v/>
      </c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20.1" customHeight="1">
      <c r="A26" s="142" t="n"/>
      <c r="B26" s="142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99">
        <f>TEXT('Monthly Tracker'!A28,"yyyy-mm")</f>
        <v/>
      </c>
      <c r="P26" s="100">
        <f>'Monthly Tracker'!C28</f>
        <v/>
      </c>
      <c r="Q26" s="100">
        <f>'Monthly Tracker'!F28</f>
        <v/>
      </c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20.1" customHeight="1">
      <c r="A27" s="142" t="n"/>
      <c r="B27" s="142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99">
        <f>TEXT('Monthly Tracker'!A29,"yyyy-mm")</f>
        <v/>
      </c>
      <c r="P27" s="100">
        <f>'Monthly Tracker'!C29</f>
        <v/>
      </c>
      <c r="Q27" s="100">
        <f>'Monthly Tracker'!F29</f>
        <v/>
      </c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20.1" customHeight="1">
      <c r="A28" s="142" t="n"/>
      <c r="B28" s="142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99">
        <f>TEXT('Monthly Tracker'!A30,"yyyy-mm")</f>
        <v/>
      </c>
      <c r="P28" s="100">
        <f>'Monthly Tracker'!C30</f>
        <v/>
      </c>
      <c r="Q28" s="100">
        <f>'Monthly Tracker'!F30</f>
        <v/>
      </c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20.1" customHeight="1">
      <c r="A29" s="142" t="n"/>
      <c r="B29" s="142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99">
        <f>TEXT('Monthly Tracker'!A31,"yyyy-mm")</f>
        <v/>
      </c>
      <c r="P29" s="100">
        <f>'Monthly Tracker'!C31</f>
        <v/>
      </c>
      <c r="Q29" s="100">
        <f>'Monthly Tracker'!F31</f>
        <v/>
      </c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20.1" customHeight="1">
      <c r="A30" s="142" t="n"/>
      <c r="B30" s="142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99">
        <f>TEXT('Monthly Tracker'!A32,"yyyy-mm")</f>
        <v/>
      </c>
      <c r="P30" s="100">
        <f>'Monthly Tracker'!C32</f>
        <v/>
      </c>
      <c r="Q30" s="100">
        <f>'Monthly Tracker'!F32</f>
        <v/>
      </c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20.1" customHeight="1">
      <c r="A31" s="142" t="n"/>
      <c r="B31" s="142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99">
        <f>TEXT('Monthly Tracker'!A33,"yyyy-mm")</f>
        <v/>
      </c>
      <c r="P31" s="100">
        <f>'Monthly Tracker'!C33</f>
        <v/>
      </c>
      <c r="Q31" s="100">
        <f>'Monthly Tracker'!F33</f>
        <v/>
      </c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20.1" customHeight="1">
      <c r="A32" s="142" t="n"/>
      <c r="B32" s="142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99">
        <f>TEXT('Monthly Tracker'!A34,"yyyy-mm")</f>
        <v/>
      </c>
      <c r="P32" s="100">
        <f>'Monthly Tracker'!C34</f>
        <v/>
      </c>
      <c r="Q32" s="100">
        <f>'Monthly Tracker'!F34</f>
        <v/>
      </c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20.1" customHeight="1">
      <c r="A33" s="142" t="n"/>
      <c r="B33" s="142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99">
        <f>TEXT('Monthly Tracker'!A35,"yyyy-mm")</f>
        <v/>
      </c>
      <c r="P33" s="100">
        <f>'Monthly Tracker'!C35</f>
        <v/>
      </c>
      <c r="Q33" s="100">
        <f>'Monthly Tracker'!F35</f>
        <v/>
      </c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20.1" customHeight="1">
      <c r="A34" s="142" t="n"/>
      <c r="B34" s="142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99">
        <f>TEXT('Monthly Tracker'!A36,"yyyy-mm")</f>
        <v/>
      </c>
      <c r="P34" s="100">
        <f>'Monthly Tracker'!C36</f>
        <v/>
      </c>
      <c r="Q34" s="100">
        <f>'Monthly Tracker'!F36</f>
        <v/>
      </c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20.1" customHeight="1">
      <c r="A35" s="142" t="n"/>
      <c r="B35" s="14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99">
        <f>TEXT('Monthly Tracker'!A37,"yyyy-mm")</f>
        <v/>
      </c>
      <c r="P35" s="100">
        <f>'Monthly Tracker'!C37</f>
        <v/>
      </c>
      <c r="Q35" s="100">
        <f>'Monthly Tracker'!F37</f>
        <v/>
      </c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20.1" customHeight="1">
      <c r="A36" s="142" t="n"/>
      <c r="B36" s="142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99">
        <f>TEXT('Monthly Tracker'!A38,"yyyy-mm")</f>
        <v/>
      </c>
      <c r="P36" s="100">
        <f>'Monthly Tracker'!C38</f>
        <v/>
      </c>
      <c r="Q36" s="100">
        <f>'Monthly Tracker'!F38</f>
        <v/>
      </c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20.1" customHeight="1">
      <c r="A37" s="142" t="n"/>
      <c r="B37" s="14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99">
        <f>TEXT('Monthly Tracker'!A39,"yyyy-mm")</f>
        <v/>
      </c>
      <c r="P37" s="100">
        <f>'Monthly Tracker'!C39</f>
        <v/>
      </c>
      <c r="Q37" s="100">
        <f>'Monthly Tracker'!F39</f>
        <v/>
      </c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20.1" customHeight="1">
      <c r="A38" s="142" t="n"/>
      <c r="B38" s="142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99">
        <f>TEXT('Monthly Tracker'!A40,"yyyy-mm")</f>
        <v/>
      </c>
      <c r="P38" s="100">
        <f>'Monthly Tracker'!C40</f>
        <v/>
      </c>
      <c r="Q38" s="100">
        <f>'Monthly Tracker'!F40</f>
        <v/>
      </c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20.1" customHeight="1">
      <c r="A39" s="142" t="n"/>
      <c r="B39" s="142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99">
        <f>TEXT('Monthly Tracker'!A41,"yyyy-mm")</f>
        <v/>
      </c>
      <c r="P39" s="100">
        <f>'Monthly Tracker'!C41</f>
        <v/>
      </c>
      <c r="Q39" s="100">
        <f>'Monthly Tracker'!F41</f>
        <v/>
      </c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20.1" customHeight="1">
      <c r="A40" s="142" t="n"/>
      <c r="B40" s="142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99">
        <f>TEXT('Monthly Tracker'!A42,"yyyy-mm")</f>
        <v/>
      </c>
      <c r="P40" s="100">
        <f>'Monthly Tracker'!C42</f>
        <v/>
      </c>
      <c r="Q40" s="100">
        <f>'Monthly Tracker'!F42</f>
        <v/>
      </c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20.1" customHeight="1">
      <c r="A41" s="142" t="n"/>
      <c r="B41" s="142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99">
        <f>TEXT('Monthly Tracker'!A43,"yyyy-mm")</f>
        <v/>
      </c>
      <c r="P41" s="100">
        <f>'Monthly Tracker'!C43</f>
        <v/>
      </c>
      <c r="Q41" s="100">
        <f>'Monthly Tracker'!F43</f>
        <v/>
      </c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20.1" customHeight="1">
      <c r="A42" s="142" t="n"/>
      <c r="B42" s="142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99">
        <f>TEXT('Monthly Tracker'!A44,"yyyy-mm")</f>
        <v/>
      </c>
      <c r="P42" s="100">
        <f>'Monthly Tracker'!C44</f>
        <v/>
      </c>
      <c r="Q42" s="100">
        <f>'Monthly Tracker'!F44</f>
        <v/>
      </c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20.1" customHeight="1">
      <c r="A43" s="142" t="n"/>
      <c r="B43" s="142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99">
        <f>TEXT('Monthly Tracker'!A45,"yyyy-mm")</f>
        <v/>
      </c>
      <c r="P43" s="100">
        <f>'Monthly Tracker'!C45</f>
        <v/>
      </c>
      <c r="Q43" s="100">
        <f>'Monthly Tracker'!F45</f>
        <v/>
      </c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20.1" customHeight="1">
      <c r="A44" s="142" t="n"/>
      <c r="B44" s="142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20.1" customHeight="1">
      <c r="A45" s="142" t="n"/>
      <c r="B45" s="142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20.1" customHeight="1">
      <c r="A46" s="142" t="n"/>
      <c r="B46" s="142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20.1" customHeight="1">
      <c r="A47" s="142" t="n"/>
      <c r="B47" s="142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20.1" customHeight="1">
      <c r="A48" s="142" t="n"/>
      <c r="B48" s="142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20.1" customHeight="1">
      <c r="A49" s="142" t="n"/>
      <c r="B49" s="142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20.1" customHeight="1">
      <c r="A50" s="142" t="n"/>
      <c r="B50" s="142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20.1" customHeight="1">
      <c r="A51" s="142" t="n"/>
      <c r="B51" s="142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20.1" customHeight="1">
      <c r="A52" s="142" t="n"/>
      <c r="B52" s="142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20.1" customHeight="1">
      <c r="A53" s="142" t="n"/>
      <c r="B53" s="142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20.1" customHeight="1">
      <c r="A54" s="142" t="n"/>
      <c r="B54" s="142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20.1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20.1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20.1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20.1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20.1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20.1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20.1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20.1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20.1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20.1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20.1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20.1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20.1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20.1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20.1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20.1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20.1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20.1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20.1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20.1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20.1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20.1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20.1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20.1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</sheetData>
  <mergeCells count="15">
    <mergeCell ref="E5:G7"/>
    <mergeCell ref="E13:K13"/>
    <mergeCell ref="A1:M2"/>
    <mergeCell ref="I9:K9"/>
    <mergeCell ref="A9:C9"/>
    <mergeCell ref="I5:K7"/>
    <mergeCell ref="E9:G9"/>
    <mergeCell ref="E4:G4"/>
    <mergeCell ref="A12:B12"/>
    <mergeCell ref="I4:K4"/>
    <mergeCell ref="E10:G12"/>
    <mergeCell ref="A4:C4"/>
    <mergeCell ref="I10:K12"/>
    <mergeCell ref="C3:G3"/>
    <mergeCell ref="A5:C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"/>
  <sheetViews>
    <sheetView showGridLines="0" tabSelected="1" workbookViewId="0">
      <selection activeCell="A1" sqref="A1:L1"/>
    </sheetView>
  </sheetViews>
  <sheetFormatPr baseColWidth="8" defaultRowHeight="14.25"/>
  <cols>
    <col width="12" customWidth="1" min="1" max="1"/>
    <col width="9" customWidth="1" min="2" max="2"/>
    <col width="18" customWidth="1" min="3" max="11"/>
    <col width="26" customWidth="1" min="12" max="12"/>
  </cols>
  <sheetData>
    <row r="1" ht="27.95" customHeight="1">
      <c r="A1" s="90" t="inlineStr">
        <is>
          <t>Monthly Asset Growth Tracker</t>
        </is>
      </c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8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3.95" customHeight="1">
      <c r="A2" s="32" t="inlineStr">
        <is>
          <t>Month</t>
        </is>
      </c>
      <c r="B2" s="32" t="inlineStr">
        <is>
          <t>Month #</t>
        </is>
      </c>
      <c r="C2" s="32" t="inlineStr">
        <is>
          <t>Target Asset (KRW)</t>
        </is>
      </c>
      <c r="D2" s="32" t="inlineStr">
        <is>
          <t>Target Monthly Gain (KRW)</t>
        </is>
      </c>
      <c r="E2" s="32" t="inlineStr">
        <is>
          <t>Target Monthly Return</t>
        </is>
      </c>
      <c r="F2" s="32" t="inlineStr">
        <is>
          <t>Actual Asset (KRW)</t>
        </is>
      </c>
      <c r="G2" s="32" t="inlineStr">
        <is>
          <t>Actual Monthly Gain (KRW)</t>
        </is>
      </c>
      <c r="H2" s="32" t="inlineStr">
        <is>
          <t>Actual Monthly Return</t>
        </is>
      </c>
      <c r="I2" s="32" t="inlineStr">
        <is>
          <t>Gap vs Target (KRW)</t>
        </is>
      </c>
      <c r="J2" s="32" t="inlineStr">
        <is>
          <t>Achievement Rate</t>
        </is>
      </c>
      <c r="K2" s="32" t="inlineStr">
        <is>
          <t>Next Month Required Return</t>
        </is>
      </c>
      <c r="L2" s="32" t="inlineStr">
        <is>
          <t>Status</t>
        </is>
      </c>
      <c r="M2" s="1" t="inlineStr">
        <is>
          <t>Memo</t>
        </is>
      </c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0.1" customHeight="1">
      <c r="A3" s="143" t="n">
        <v>46174</v>
      </c>
      <c r="B3" s="34" t="n">
        <v>0</v>
      </c>
      <c r="C3" s="156">
        <f>Assumptions!$B$5</f>
        <v/>
      </c>
      <c r="D3" s="156" t="n"/>
      <c r="E3" s="157" t="n"/>
      <c r="F3" s="156" t="n"/>
      <c r="G3" s="156" t="n"/>
      <c r="H3" s="158" t="n"/>
      <c r="I3" s="156">
        <f>IF(F3="","",F3-C3)</f>
        <v/>
      </c>
      <c r="J3" s="158">
        <f>IF(F3="","",F3/C3)</f>
        <v/>
      </c>
      <c r="K3" s="158">
        <f>IF(F3&gt;0,C4/F3-1,"")</f>
        <v/>
      </c>
      <c r="L3" s="44">
        <f>IF(F3="","Not entered",IF(F3&gt;=C3,"On track","Behind"))</f>
        <v/>
      </c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0.1" customHeight="1">
      <c r="A4" s="147" t="n">
        <v>46204</v>
      </c>
      <c r="B4" s="38" t="n">
        <v>1</v>
      </c>
      <c r="C4" s="159">
        <f>C3*(1+E4)</f>
        <v/>
      </c>
      <c r="D4" s="159">
        <f>C4-C3</f>
        <v/>
      </c>
      <c r="E4" s="157">
        <f>IF($B4&lt;=Assumptions!$B$10,Assumptions!$B$6,Assumptions!$B$11)</f>
        <v/>
      </c>
      <c r="F4" s="159" t="n"/>
      <c r="G4" s="159">
        <f>IF(OR(F4="",F3=""),"",F4-F3)</f>
        <v/>
      </c>
      <c r="H4" s="160">
        <f>IF(OR(F4="",F3=0,F3=""),"",F4/F3-1)</f>
        <v/>
      </c>
      <c r="I4" s="159">
        <f>IF(F4="","",F4-C4)</f>
        <v/>
      </c>
      <c r="J4" s="160">
        <f>IF(F4="","",F4/C4)</f>
        <v/>
      </c>
      <c r="K4" s="160">
        <f>IF(F4&gt;0,C5/F4-1,"")</f>
        <v/>
      </c>
      <c r="L4" s="44">
        <f>IF(F4="","Not entered",IF(F4&gt;=C4,"On track","Behind"))</f>
        <v/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0.1" customHeight="1">
      <c r="A5" s="143" t="n">
        <v>46235</v>
      </c>
      <c r="B5" s="34" t="n">
        <v>2</v>
      </c>
      <c r="C5" s="156">
        <f>C4*(1+E5)</f>
        <v/>
      </c>
      <c r="D5" s="156">
        <f>C5-C4</f>
        <v/>
      </c>
      <c r="E5" s="157">
        <f>IF($B5&lt;=Assumptions!$B$10,Assumptions!$B$6,Assumptions!$B$11)</f>
        <v/>
      </c>
      <c r="F5" s="156" t="n"/>
      <c r="G5" s="156">
        <f>IF(OR(F5="",F4=""),"",F5-F4)</f>
        <v/>
      </c>
      <c r="H5" s="158">
        <f>IF(OR(F5="",F4=0,F4=""),"",F5/F4-1)</f>
        <v/>
      </c>
      <c r="I5" s="156">
        <f>IF(F5="","",F5-C5)</f>
        <v/>
      </c>
      <c r="J5" s="158">
        <f>IF(F5="","",F5/C5)</f>
        <v/>
      </c>
      <c r="K5" s="158">
        <f>IF(F5&gt;0,C6/F5-1,"")</f>
        <v/>
      </c>
      <c r="L5" s="44">
        <f>IF(F5="","Not entered",IF(F5&gt;=C5,"On track","Behind"))</f>
        <v/>
      </c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0.1" customHeight="1">
      <c r="A6" s="147" t="n">
        <v>46266</v>
      </c>
      <c r="B6" s="38" t="n">
        <v>3</v>
      </c>
      <c r="C6" s="159">
        <f>C5*(1+E6)</f>
        <v/>
      </c>
      <c r="D6" s="159">
        <f>C6-C5</f>
        <v/>
      </c>
      <c r="E6" s="157">
        <f>IF($B6&lt;=Assumptions!$B$10,Assumptions!$B$6,Assumptions!$B$11)</f>
        <v/>
      </c>
      <c r="F6" s="159" t="n"/>
      <c r="G6" s="159">
        <f>IF(OR(F6="",F5=""),"",F6-F5)</f>
        <v/>
      </c>
      <c r="H6" s="160">
        <f>IF(OR(F6="",F5=0,F5=""),"",F6/F5-1)</f>
        <v/>
      </c>
      <c r="I6" s="159">
        <f>IF(F6="","",F6-C6)</f>
        <v/>
      </c>
      <c r="J6" s="160">
        <f>IF(F6="","",F6/C6)</f>
        <v/>
      </c>
      <c r="K6" s="160">
        <f>IF(F6&gt;0,C7/F6-1,"")</f>
        <v/>
      </c>
      <c r="L6" s="44">
        <f>IF(F6="","Not entered",IF(F6&gt;=C6,"On track","Behind"))</f>
        <v/>
      </c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0.1" customHeight="1">
      <c r="A7" s="143" t="n">
        <v>46296</v>
      </c>
      <c r="B7" s="34" t="n">
        <v>4</v>
      </c>
      <c r="C7" s="156">
        <f>C6*(1+E7)</f>
        <v/>
      </c>
      <c r="D7" s="156">
        <f>C7-C6</f>
        <v/>
      </c>
      <c r="E7" s="157">
        <f>IF($B7&lt;=Assumptions!$B$10,Assumptions!$B$6,Assumptions!$B$11)</f>
        <v/>
      </c>
      <c r="F7" s="156" t="n"/>
      <c r="G7" s="156">
        <f>IF(OR(F7="",F6=""),"",F7-F6)</f>
        <v/>
      </c>
      <c r="H7" s="158">
        <f>IF(OR(F7="",F6=0,F6=""),"",F7/F6-1)</f>
        <v/>
      </c>
      <c r="I7" s="156">
        <f>IF(F7="","",F7-C7)</f>
        <v/>
      </c>
      <c r="J7" s="158">
        <f>IF(F7="","",F7/C7)</f>
        <v/>
      </c>
      <c r="K7" s="158">
        <f>IF(F7&gt;0,C8/F7-1,"")</f>
        <v/>
      </c>
      <c r="L7" s="44">
        <f>IF(F7="","Not entered",IF(F7&gt;=C7,"On track","Behind"))</f>
        <v/>
      </c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0.1" customHeight="1">
      <c r="A8" s="147" t="n">
        <v>46327</v>
      </c>
      <c r="B8" s="38" t="n">
        <v>5</v>
      </c>
      <c r="C8" s="159">
        <f>C7*(1+E8)</f>
        <v/>
      </c>
      <c r="D8" s="159">
        <f>C8-C7</f>
        <v/>
      </c>
      <c r="E8" s="157">
        <f>IF($B8&lt;=Assumptions!$B$10,Assumptions!$B$6,Assumptions!$B$11)</f>
        <v/>
      </c>
      <c r="F8" s="159" t="n"/>
      <c r="G8" s="159">
        <f>IF(OR(F8="",F7=""),"",F8-F7)</f>
        <v/>
      </c>
      <c r="H8" s="160">
        <f>IF(OR(F8="",F7=0,F7=""),"",F8/F7-1)</f>
        <v/>
      </c>
      <c r="I8" s="159">
        <f>IF(F8="","",F8-C8)</f>
        <v/>
      </c>
      <c r="J8" s="160">
        <f>IF(F8="","",F8/C8)</f>
        <v/>
      </c>
      <c r="K8" s="160">
        <f>IF(F8&gt;0,C9/F8-1,"")</f>
        <v/>
      </c>
      <c r="L8" s="44">
        <f>IF(F8="","Not entered",IF(F8&gt;=C8,"On track","Behind"))</f>
        <v/>
      </c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0.1" customHeight="1">
      <c r="A9" s="143" t="n">
        <v>46357</v>
      </c>
      <c r="B9" s="34" t="n">
        <v>6</v>
      </c>
      <c r="C9" s="156">
        <f>C8*(1+E9)</f>
        <v/>
      </c>
      <c r="D9" s="156">
        <f>C9-C8</f>
        <v/>
      </c>
      <c r="E9" s="157">
        <f>IF($B9&lt;=Assumptions!$B$10,Assumptions!$B$6,Assumptions!$B$11)</f>
        <v/>
      </c>
      <c r="F9" s="156" t="n"/>
      <c r="G9" s="156">
        <f>IF(OR(F9="",F8=""),"",F9-F8)</f>
        <v/>
      </c>
      <c r="H9" s="158">
        <f>IF(OR(F9="",F8=0,F8=""),"",F9/F8-1)</f>
        <v/>
      </c>
      <c r="I9" s="156">
        <f>IF(F9="","",F9-C9)</f>
        <v/>
      </c>
      <c r="J9" s="158">
        <f>IF(F9="","",F9/C9)</f>
        <v/>
      </c>
      <c r="K9" s="158">
        <f>IF(F9&gt;0,C10/F9-1,"")</f>
        <v/>
      </c>
      <c r="L9" s="44">
        <f>IF(F9="","Not entered",IF(F9&gt;=C9,"On track","Behind"))</f>
        <v/>
      </c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0.1" customHeight="1">
      <c r="A10" s="147" t="n">
        <v>46388</v>
      </c>
      <c r="B10" s="38" t="n">
        <v>7</v>
      </c>
      <c r="C10" s="159">
        <f>C9*(1+E10)</f>
        <v/>
      </c>
      <c r="D10" s="159">
        <f>C10-C9</f>
        <v/>
      </c>
      <c r="E10" s="157">
        <f>IF($B10&lt;=Assumptions!$B$10,Assumptions!$B$6,Assumptions!$B$11)</f>
        <v/>
      </c>
      <c r="F10" s="159" t="n"/>
      <c r="G10" s="159">
        <f>IF(OR(F10="",F9=""),"",F10-F9)</f>
        <v/>
      </c>
      <c r="H10" s="160">
        <f>IF(OR(F10="",F9=0,F9=""),"",F10/F9-1)</f>
        <v/>
      </c>
      <c r="I10" s="159">
        <f>IF(F10="","",F10-C10)</f>
        <v/>
      </c>
      <c r="J10" s="160">
        <f>IF(F10="","",F10/C10)</f>
        <v/>
      </c>
      <c r="K10" s="160">
        <f>IF(F10&gt;0,C11/F10-1,"")</f>
        <v/>
      </c>
      <c r="L10" s="44">
        <f>IF(F10="","Not entered",IF(F10&gt;=C10,"On track","Behind"))</f>
        <v/>
      </c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0.1" customHeight="1">
      <c r="A11" s="143" t="n">
        <v>46419</v>
      </c>
      <c r="B11" s="34" t="n">
        <v>8</v>
      </c>
      <c r="C11" s="156">
        <f>C10*(1+E11)</f>
        <v/>
      </c>
      <c r="D11" s="156">
        <f>C11-C10</f>
        <v/>
      </c>
      <c r="E11" s="157">
        <f>IF($B11&lt;=Assumptions!$B$10,Assumptions!$B$6,Assumptions!$B$11)</f>
        <v/>
      </c>
      <c r="F11" s="156" t="n"/>
      <c r="G11" s="156">
        <f>IF(OR(F11="",F10=""),"",F11-F10)</f>
        <v/>
      </c>
      <c r="H11" s="158">
        <f>IF(OR(F11="",F10=0,F10=""),"",F11/F10-1)</f>
        <v/>
      </c>
      <c r="I11" s="156">
        <f>IF(F11="","",F11-C11)</f>
        <v/>
      </c>
      <c r="J11" s="158">
        <f>IF(F11="","",F11/C11)</f>
        <v/>
      </c>
      <c r="K11" s="158">
        <f>IF(F11&gt;0,C12/F11-1,"")</f>
        <v/>
      </c>
      <c r="L11" s="44">
        <f>IF(F11="","Not entered",IF(F11&gt;=C11,"On track","Behind"))</f>
        <v/>
      </c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0.1" customHeight="1">
      <c r="A12" s="147" t="n">
        <v>46447</v>
      </c>
      <c r="B12" s="38" t="n">
        <v>9</v>
      </c>
      <c r="C12" s="159">
        <f>C11*(1+E12)</f>
        <v/>
      </c>
      <c r="D12" s="159">
        <f>C12-C11</f>
        <v/>
      </c>
      <c r="E12" s="157">
        <f>IF($B12&lt;=Assumptions!$B$10,Assumptions!$B$6,Assumptions!$B$11)</f>
        <v/>
      </c>
      <c r="F12" s="159" t="n"/>
      <c r="G12" s="159">
        <f>IF(OR(F12="",F11=""),"",F12-F11)</f>
        <v/>
      </c>
      <c r="H12" s="160">
        <f>IF(OR(F12="",F11=0,F11=""),"",F12/F11-1)</f>
        <v/>
      </c>
      <c r="I12" s="159">
        <f>IF(F12="","",F12-C12)</f>
        <v/>
      </c>
      <c r="J12" s="160">
        <f>IF(F12="","",F12/C12)</f>
        <v/>
      </c>
      <c r="K12" s="160">
        <f>IF(F12&gt;0,C13/F12-1,"")</f>
        <v/>
      </c>
      <c r="L12" s="44">
        <f>IF(F12="","Not entered",IF(F12&gt;=C12,"On track","Behind"))</f>
        <v/>
      </c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0.1" customHeight="1">
      <c r="A13" s="143" t="n">
        <v>46478</v>
      </c>
      <c r="B13" s="34" t="n">
        <v>10</v>
      </c>
      <c r="C13" s="156">
        <f>C12*(1+E13)</f>
        <v/>
      </c>
      <c r="D13" s="156">
        <f>C13-C12</f>
        <v/>
      </c>
      <c r="E13" s="157">
        <f>IF($B13&lt;=Assumptions!$B$10,Assumptions!$B$6,Assumptions!$B$11)</f>
        <v/>
      </c>
      <c r="F13" s="156" t="n"/>
      <c r="G13" s="156">
        <f>IF(OR(F13="",F12=""),"",F13-F12)</f>
        <v/>
      </c>
      <c r="H13" s="158">
        <f>IF(OR(F13="",F12=0,F12=""),"",F13/F12-1)</f>
        <v/>
      </c>
      <c r="I13" s="156">
        <f>IF(F13="","",F13-C13)</f>
        <v/>
      </c>
      <c r="J13" s="158">
        <f>IF(F13="","",F13/C13)</f>
        <v/>
      </c>
      <c r="K13" s="158">
        <f>IF(F13&gt;0,C14/F13-1,"")</f>
        <v/>
      </c>
      <c r="L13" s="44">
        <f>IF(F13="","Not entered",IF(F13&gt;=C13,"On track","Behind"))</f>
        <v/>
      </c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0.1" customHeight="1">
      <c r="A14" s="147" t="n">
        <v>46508</v>
      </c>
      <c r="B14" s="38" t="n">
        <v>11</v>
      </c>
      <c r="C14" s="159">
        <f>C13*(1+E14)</f>
        <v/>
      </c>
      <c r="D14" s="159">
        <f>C14-C13</f>
        <v/>
      </c>
      <c r="E14" s="157">
        <f>IF($B14&lt;=Assumptions!$B$10,Assumptions!$B$6,Assumptions!$B$11)</f>
        <v/>
      </c>
      <c r="F14" s="159" t="n"/>
      <c r="G14" s="159">
        <f>IF(OR(F14="",F13=""),"",F14-F13)</f>
        <v/>
      </c>
      <c r="H14" s="160">
        <f>IF(OR(F14="",F13=0,F13=""),"",F14/F13-1)</f>
        <v/>
      </c>
      <c r="I14" s="159">
        <f>IF(F14="","",F14-C14)</f>
        <v/>
      </c>
      <c r="J14" s="160">
        <f>IF(F14="","",F14/C14)</f>
        <v/>
      </c>
      <c r="K14" s="160">
        <f>IF(F14&gt;0,C15/F14-1,"")</f>
        <v/>
      </c>
      <c r="L14" s="44">
        <f>IF(F14="","Not entered",IF(F14&gt;=C14,"On track","Behind"))</f>
        <v/>
      </c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0.1" customHeight="1">
      <c r="A15" s="143" t="n">
        <v>46539</v>
      </c>
      <c r="B15" s="34" t="n">
        <v>12</v>
      </c>
      <c r="C15" s="156">
        <f>C14*(1+E15)</f>
        <v/>
      </c>
      <c r="D15" s="156">
        <f>C15-C14</f>
        <v/>
      </c>
      <c r="E15" s="157">
        <f>IF($B15&lt;=Assumptions!$B$10,Assumptions!$B$6,Assumptions!$B$11)</f>
        <v/>
      </c>
      <c r="F15" s="156" t="n"/>
      <c r="G15" s="156">
        <f>IF(OR(F15="",F14=""),"",F15-F14)</f>
        <v/>
      </c>
      <c r="H15" s="158">
        <f>IF(OR(F15="",F14=0,F14=""),"",F15/F14-1)</f>
        <v/>
      </c>
      <c r="I15" s="156">
        <f>IF(F15="","",F15-C15)</f>
        <v/>
      </c>
      <c r="J15" s="158">
        <f>IF(F15="","",F15/C15)</f>
        <v/>
      </c>
      <c r="K15" s="158">
        <f>IF(F15&gt;0,C16/F15-1,"")</f>
        <v/>
      </c>
      <c r="L15" s="44">
        <f>IF(F15="","Not entered",IF(F15&gt;=C15,"On track","Behind"))</f>
        <v/>
      </c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0.1" customHeight="1">
      <c r="A16" s="147" t="n">
        <v>46569</v>
      </c>
      <c r="B16" s="38" t="n">
        <v>13</v>
      </c>
      <c r="C16" s="159">
        <f>C15*(1+E16)</f>
        <v/>
      </c>
      <c r="D16" s="159">
        <f>C16-C15</f>
        <v/>
      </c>
      <c r="E16" s="157">
        <f>IF($B16&lt;=Assumptions!$B$10,Assumptions!$B$6,Assumptions!$B$11)</f>
        <v/>
      </c>
      <c r="F16" s="159" t="n"/>
      <c r="G16" s="159">
        <f>IF(OR(F16="",F15=""),"",F16-F15)</f>
        <v/>
      </c>
      <c r="H16" s="160">
        <f>IF(OR(F16="",F15=0,F15=""),"",F16/F15-1)</f>
        <v/>
      </c>
      <c r="I16" s="159">
        <f>IF(F16="","",F16-C16)</f>
        <v/>
      </c>
      <c r="J16" s="160">
        <f>IF(F16="","",F16/C16)</f>
        <v/>
      </c>
      <c r="K16" s="160">
        <f>IF(F16&gt;0,C17/F16-1,"")</f>
        <v/>
      </c>
      <c r="L16" s="44">
        <f>IF(F16="","Not entered",IF(F16&gt;=C16,"On track","Behind"))</f>
        <v/>
      </c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0.1" customHeight="1">
      <c r="A17" s="143" t="n">
        <v>46600</v>
      </c>
      <c r="B17" s="34" t="n">
        <v>14</v>
      </c>
      <c r="C17" s="156">
        <f>C16*(1+E17)</f>
        <v/>
      </c>
      <c r="D17" s="156">
        <f>C17-C16</f>
        <v/>
      </c>
      <c r="E17" s="157">
        <f>IF($B17&lt;=Assumptions!$B$10,Assumptions!$B$6,Assumptions!$B$11)</f>
        <v/>
      </c>
      <c r="F17" s="156" t="n"/>
      <c r="G17" s="156">
        <f>IF(OR(F17="",F16=""),"",F17-F16)</f>
        <v/>
      </c>
      <c r="H17" s="158">
        <f>IF(OR(F17="",F16=0,F16=""),"",F17/F16-1)</f>
        <v/>
      </c>
      <c r="I17" s="156">
        <f>IF(F17="","",F17-C17)</f>
        <v/>
      </c>
      <c r="J17" s="158">
        <f>IF(F17="","",F17/C17)</f>
        <v/>
      </c>
      <c r="K17" s="158">
        <f>IF(F17&gt;0,C18/F17-1,"")</f>
        <v/>
      </c>
      <c r="L17" s="44">
        <f>IF(F17="","Not entered",IF(F17&gt;=C17,"On track","Behind"))</f>
        <v/>
      </c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0.1" customHeight="1">
      <c r="A18" s="147" t="n">
        <v>46631</v>
      </c>
      <c r="B18" s="38" t="n">
        <v>15</v>
      </c>
      <c r="C18" s="159">
        <f>C17*(1+E18)</f>
        <v/>
      </c>
      <c r="D18" s="159">
        <f>C18-C17</f>
        <v/>
      </c>
      <c r="E18" s="157">
        <f>IF($B18&lt;=Assumptions!$B$10,Assumptions!$B$6,Assumptions!$B$11)</f>
        <v/>
      </c>
      <c r="F18" s="159" t="n"/>
      <c r="G18" s="159">
        <f>IF(OR(F18="",F17=""),"",F18-F17)</f>
        <v/>
      </c>
      <c r="H18" s="160">
        <f>IF(OR(F18="",F17=0,F17=""),"",F18/F17-1)</f>
        <v/>
      </c>
      <c r="I18" s="159">
        <f>IF(F18="","",F18-C18)</f>
        <v/>
      </c>
      <c r="J18" s="160">
        <f>IF(F18="","",F18/C18)</f>
        <v/>
      </c>
      <c r="K18" s="160">
        <f>IF(F18&gt;0,C19/F18-1,"")</f>
        <v/>
      </c>
      <c r="L18" s="44">
        <f>IF(F18="","Not entered",IF(F18&gt;=C18,"On track","Behind"))</f>
        <v/>
      </c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0.1" customHeight="1">
      <c r="A19" s="143" t="n">
        <v>46661</v>
      </c>
      <c r="B19" s="34" t="n">
        <v>16</v>
      </c>
      <c r="C19" s="156">
        <f>C18*(1+E19)</f>
        <v/>
      </c>
      <c r="D19" s="156">
        <f>C19-C18</f>
        <v/>
      </c>
      <c r="E19" s="157">
        <f>IF($B19&lt;=Assumptions!$B$10,Assumptions!$B$6,Assumptions!$B$11)</f>
        <v/>
      </c>
      <c r="F19" s="156" t="n"/>
      <c r="G19" s="156">
        <f>IF(OR(F19="",F18=""),"",F19-F18)</f>
        <v/>
      </c>
      <c r="H19" s="158">
        <f>IF(OR(F19="",F18=0,F18=""),"",F19/F18-1)</f>
        <v/>
      </c>
      <c r="I19" s="156">
        <f>IF(F19="","",F19-C19)</f>
        <v/>
      </c>
      <c r="J19" s="158">
        <f>IF(F19="","",F19/C19)</f>
        <v/>
      </c>
      <c r="K19" s="158">
        <f>IF(F19&gt;0,C20/F19-1,"")</f>
        <v/>
      </c>
      <c r="L19" s="44">
        <f>IF(F19="","Not entered",IF(F19&gt;=C19,"On track","Behind"))</f>
        <v/>
      </c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0.1" customHeight="1">
      <c r="A20" s="147" t="n">
        <v>46692</v>
      </c>
      <c r="B20" s="38" t="n">
        <v>17</v>
      </c>
      <c r="C20" s="159">
        <f>C19*(1+E20)</f>
        <v/>
      </c>
      <c r="D20" s="159">
        <f>C20-C19</f>
        <v/>
      </c>
      <c r="E20" s="157">
        <f>IF($B20&lt;=Assumptions!$B$10,Assumptions!$B$6,Assumptions!$B$11)</f>
        <v/>
      </c>
      <c r="F20" s="159" t="n"/>
      <c r="G20" s="159">
        <f>IF(OR(F20="",F19=""),"",F20-F19)</f>
        <v/>
      </c>
      <c r="H20" s="160">
        <f>IF(OR(F20="",F19=0,F19=""),"",F20/F19-1)</f>
        <v/>
      </c>
      <c r="I20" s="159">
        <f>IF(F20="","",F20-C20)</f>
        <v/>
      </c>
      <c r="J20" s="160">
        <f>IF(F20="","",F20/C20)</f>
        <v/>
      </c>
      <c r="K20" s="160">
        <f>IF(F20&gt;0,C21/F20-1,"")</f>
        <v/>
      </c>
      <c r="L20" s="44">
        <f>IF(F20="","Not entered",IF(F20&gt;=C20,"On track","Behind"))</f>
        <v/>
      </c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0.1" customHeight="1">
      <c r="A21" s="143" t="n">
        <v>46722</v>
      </c>
      <c r="B21" s="34" t="n">
        <v>18</v>
      </c>
      <c r="C21" s="156">
        <f>C20*(1+E21)</f>
        <v/>
      </c>
      <c r="D21" s="156">
        <f>C21-C20</f>
        <v/>
      </c>
      <c r="E21" s="157">
        <f>IF($B21&lt;=Assumptions!$B$10,Assumptions!$B$6,Assumptions!$B$11)</f>
        <v/>
      </c>
      <c r="F21" s="156" t="n"/>
      <c r="G21" s="156">
        <f>IF(OR(F21="",F20=""),"",F21-F20)</f>
        <v/>
      </c>
      <c r="H21" s="158">
        <f>IF(OR(F21="",F20=0,F20=""),"",F21/F20-1)</f>
        <v/>
      </c>
      <c r="I21" s="156">
        <f>IF(F21="","",F21-C21)</f>
        <v/>
      </c>
      <c r="J21" s="158">
        <f>IF(F21="","",F21/C21)</f>
        <v/>
      </c>
      <c r="K21" s="158">
        <f>IF(F21&gt;0,C22/F21-1,"")</f>
        <v/>
      </c>
      <c r="L21" s="44">
        <f>IF(F21="","Not entered",IF(F21&gt;=C21,"On track","Behind"))</f>
        <v/>
      </c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0.1" customHeight="1">
      <c r="A22" s="147" t="n">
        <v>46753</v>
      </c>
      <c r="B22" s="38" t="n">
        <v>19</v>
      </c>
      <c r="C22" s="159">
        <f>C21*(1+E22)</f>
        <v/>
      </c>
      <c r="D22" s="159">
        <f>C22-C21</f>
        <v/>
      </c>
      <c r="E22" s="157">
        <f>IF($B22&lt;=Assumptions!$B$10,Assumptions!$B$6,Assumptions!$B$11)</f>
        <v/>
      </c>
      <c r="F22" s="159" t="n"/>
      <c r="G22" s="159">
        <f>IF(OR(F22="",F21=""),"",F22-F21)</f>
        <v/>
      </c>
      <c r="H22" s="160">
        <f>IF(OR(F22="",F21=0,F21=""),"",F22/F21-1)</f>
        <v/>
      </c>
      <c r="I22" s="159">
        <f>IF(F22="","",F22-C22)</f>
        <v/>
      </c>
      <c r="J22" s="160">
        <f>IF(F22="","",F22/C22)</f>
        <v/>
      </c>
      <c r="K22" s="160">
        <f>IF(F22&gt;0,C23/F22-1,"")</f>
        <v/>
      </c>
      <c r="L22" s="44">
        <f>IF(F22="","Not entered",IF(F22&gt;=C22,"On track","Behind"))</f>
        <v/>
      </c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0.1" customHeight="1">
      <c r="A23" s="143" t="n">
        <v>46784</v>
      </c>
      <c r="B23" s="34" t="n">
        <v>20</v>
      </c>
      <c r="C23" s="156">
        <f>C22*(1+E23)</f>
        <v/>
      </c>
      <c r="D23" s="156">
        <f>C23-C22</f>
        <v/>
      </c>
      <c r="E23" s="157">
        <f>IF($B23&lt;=Assumptions!$B$10,Assumptions!$B$6,Assumptions!$B$11)</f>
        <v/>
      </c>
      <c r="F23" s="156" t="n"/>
      <c r="G23" s="156">
        <f>IF(OR(F23="",F22=""),"",F23-F22)</f>
        <v/>
      </c>
      <c r="H23" s="158">
        <f>IF(OR(F23="",F22=0,F22=""),"",F23/F22-1)</f>
        <v/>
      </c>
      <c r="I23" s="156">
        <f>IF(F23="","",F23-C23)</f>
        <v/>
      </c>
      <c r="J23" s="158">
        <f>IF(F23="","",F23/C23)</f>
        <v/>
      </c>
      <c r="K23" s="158">
        <f>IF(F23&gt;0,C24/F23-1,"")</f>
        <v/>
      </c>
      <c r="L23" s="44">
        <f>IF(F23="","Not entered",IF(F23&gt;=C23,"On track","Behind"))</f>
        <v/>
      </c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0.1" customHeight="1">
      <c r="A24" s="147" t="n">
        <v>46813</v>
      </c>
      <c r="B24" s="38" t="n">
        <v>21</v>
      </c>
      <c r="C24" s="159">
        <f>C23*(1+E24)</f>
        <v/>
      </c>
      <c r="D24" s="159">
        <f>C24-C23</f>
        <v/>
      </c>
      <c r="E24" s="157">
        <f>IF($B24&lt;=Assumptions!$B$10,Assumptions!$B$6,Assumptions!$B$11)</f>
        <v/>
      </c>
      <c r="F24" s="159" t="n"/>
      <c r="G24" s="159">
        <f>IF(OR(F24="",F23=""),"",F24-F23)</f>
        <v/>
      </c>
      <c r="H24" s="160">
        <f>IF(OR(F24="",F23=0,F23=""),"",F24/F23-1)</f>
        <v/>
      </c>
      <c r="I24" s="159">
        <f>IF(F24="","",F24-C24)</f>
        <v/>
      </c>
      <c r="J24" s="160">
        <f>IF(F24="","",F24/C24)</f>
        <v/>
      </c>
      <c r="K24" s="160">
        <f>IF(F24&gt;0,C25/F24-1,"")</f>
        <v/>
      </c>
      <c r="L24" s="44">
        <f>IF(F24="","Not entered",IF(F24&gt;=C24,"On track","Behind"))</f>
        <v/>
      </c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20.1" customHeight="1">
      <c r="A25" s="143" t="n">
        <v>46844</v>
      </c>
      <c r="B25" s="34" t="n">
        <v>22</v>
      </c>
      <c r="C25" s="156">
        <f>C24*(1+E25)</f>
        <v/>
      </c>
      <c r="D25" s="156">
        <f>C25-C24</f>
        <v/>
      </c>
      <c r="E25" s="157">
        <f>IF($B25&lt;=Assumptions!$B$10,Assumptions!$B$6,Assumptions!$B$11)</f>
        <v/>
      </c>
      <c r="F25" s="156" t="n"/>
      <c r="G25" s="156">
        <f>IF(OR(F25="",F24=""),"",F25-F24)</f>
        <v/>
      </c>
      <c r="H25" s="158">
        <f>IF(OR(F25="",F24=0,F24=""),"",F25/F24-1)</f>
        <v/>
      </c>
      <c r="I25" s="156">
        <f>IF(F25="","",F25-C25)</f>
        <v/>
      </c>
      <c r="J25" s="158">
        <f>IF(F25="","",F25/C25)</f>
        <v/>
      </c>
      <c r="K25" s="158">
        <f>IF(F25&gt;0,C26/F25-1,"")</f>
        <v/>
      </c>
      <c r="L25" s="44">
        <f>IF(F25="","Not entered",IF(F25&gt;=C25,"On track","Behind"))</f>
        <v/>
      </c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20.1" customHeight="1">
      <c r="A26" s="147" t="n">
        <v>46874</v>
      </c>
      <c r="B26" s="38" t="n">
        <v>23</v>
      </c>
      <c r="C26" s="159">
        <f>C25*(1+E26)</f>
        <v/>
      </c>
      <c r="D26" s="159">
        <f>C26-C25</f>
        <v/>
      </c>
      <c r="E26" s="157">
        <f>IF($B26&lt;=Assumptions!$B$10,Assumptions!$B$6,Assumptions!$B$11)</f>
        <v/>
      </c>
      <c r="F26" s="159" t="n"/>
      <c r="G26" s="159">
        <f>IF(OR(F26="",F25=""),"",F26-F25)</f>
        <v/>
      </c>
      <c r="H26" s="160">
        <f>IF(OR(F26="",F25=0,F25=""),"",F26/F25-1)</f>
        <v/>
      </c>
      <c r="I26" s="159">
        <f>IF(F26="","",F26-C26)</f>
        <v/>
      </c>
      <c r="J26" s="160">
        <f>IF(F26="","",F26/C26)</f>
        <v/>
      </c>
      <c r="K26" s="160">
        <f>IF(F26&gt;0,C27/F26-1,"")</f>
        <v/>
      </c>
      <c r="L26" s="44">
        <f>IF(F26="","Not entered",IF(F26&gt;=C26,"On track","Behind"))</f>
        <v/>
      </c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20.1" customHeight="1">
      <c r="A27" s="143" t="n">
        <v>46905</v>
      </c>
      <c r="B27" s="34" t="n">
        <v>24</v>
      </c>
      <c r="C27" s="156">
        <f>C26*(1+E27)</f>
        <v/>
      </c>
      <c r="D27" s="156">
        <f>C27-C26</f>
        <v/>
      </c>
      <c r="E27" s="157">
        <f>IF($B27&lt;=Assumptions!$B$10,Assumptions!$B$6,Assumptions!$B$11)</f>
        <v/>
      </c>
      <c r="F27" s="156" t="n"/>
      <c r="G27" s="156">
        <f>IF(OR(F27="",F26=""),"",F27-F26)</f>
        <v/>
      </c>
      <c r="H27" s="158">
        <f>IF(OR(F27="",F26=0,F26=""),"",F27/F26-1)</f>
        <v/>
      </c>
      <c r="I27" s="156">
        <f>IF(F27="","",F27-C27)</f>
        <v/>
      </c>
      <c r="J27" s="158">
        <f>IF(F27="","",F27/C27)</f>
        <v/>
      </c>
      <c r="K27" s="158">
        <f>IF(F27&gt;0,C28/F27-1,"")</f>
        <v/>
      </c>
      <c r="L27" s="44">
        <f>IF(F27="","Not entered",IF(F27&gt;=C27,"On track","Behind"))</f>
        <v/>
      </c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20.1" customHeight="1">
      <c r="A28" s="147" t="n">
        <v>46935</v>
      </c>
      <c r="B28" s="38" t="n">
        <v>25</v>
      </c>
      <c r="C28" s="159">
        <f>C27*(1+E28)</f>
        <v/>
      </c>
      <c r="D28" s="159">
        <f>C28-C27</f>
        <v/>
      </c>
      <c r="E28" s="157">
        <f>IF($B28&lt;=Assumptions!$B$10,Assumptions!$B$6,Assumptions!$B$11)</f>
        <v/>
      </c>
      <c r="F28" s="159" t="n"/>
      <c r="G28" s="159">
        <f>IF(OR(F28="",F27=""),"",F28-F27)</f>
        <v/>
      </c>
      <c r="H28" s="160">
        <f>IF(OR(F28="",F27=0,F27=""),"",F28/F27-1)</f>
        <v/>
      </c>
      <c r="I28" s="159">
        <f>IF(F28="","",F28-C28)</f>
        <v/>
      </c>
      <c r="J28" s="160">
        <f>IF(F28="","",F28/C28)</f>
        <v/>
      </c>
      <c r="K28" s="160">
        <f>IF(F28&gt;0,C29/F28-1,"")</f>
        <v/>
      </c>
      <c r="L28" s="44">
        <f>IF(F28="","Not entered",IF(F28&gt;=C28,"On track","Behind"))</f>
        <v/>
      </c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0.1" customHeight="1">
      <c r="A29" s="143" t="n">
        <v>46966</v>
      </c>
      <c r="B29" s="34" t="n">
        <v>26</v>
      </c>
      <c r="C29" s="156">
        <f>C28*(1+E29)</f>
        <v/>
      </c>
      <c r="D29" s="156">
        <f>C29-C28</f>
        <v/>
      </c>
      <c r="E29" s="157">
        <f>IF($B29&lt;=Assumptions!$B$10,Assumptions!$B$6,Assumptions!$B$11)</f>
        <v/>
      </c>
      <c r="F29" s="156" t="n"/>
      <c r="G29" s="156">
        <f>IF(OR(F29="",F28=""),"",F29-F28)</f>
        <v/>
      </c>
      <c r="H29" s="158">
        <f>IF(OR(F29="",F28=0,F28=""),"",F29/F28-1)</f>
        <v/>
      </c>
      <c r="I29" s="156">
        <f>IF(F29="","",F29-C29)</f>
        <v/>
      </c>
      <c r="J29" s="158">
        <f>IF(F29="","",F29/C29)</f>
        <v/>
      </c>
      <c r="K29" s="158">
        <f>IF(F29&gt;0,C30/F29-1,"")</f>
        <v/>
      </c>
      <c r="L29" s="44">
        <f>IF(F29="","Not entered",IF(F29&gt;=C29,"On track","Behind"))</f>
        <v/>
      </c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0.1" customHeight="1">
      <c r="A30" s="147" t="n">
        <v>46997</v>
      </c>
      <c r="B30" s="38" t="n">
        <v>27</v>
      </c>
      <c r="C30" s="159">
        <f>C29*(1+E30)</f>
        <v/>
      </c>
      <c r="D30" s="159">
        <f>C30-C29</f>
        <v/>
      </c>
      <c r="E30" s="157">
        <f>IF($B30&lt;=Assumptions!$B$10,Assumptions!$B$6,Assumptions!$B$11)</f>
        <v/>
      </c>
      <c r="F30" s="159" t="n"/>
      <c r="G30" s="159">
        <f>IF(OR(F30="",F29=""),"",F30-F29)</f>
        <v/>
      </c>
      <c r="H30" s="160">
        <f>IF(OR(F30="",F29=0,F29=""),"",F30/F29-1)</f>
        <v/>
      </c>
      <c r="I30" s="159">
        <f>IF(F30="","",F30-C30)</f>
        <v/>
      </c>
      <c r="J30" s="160">
        <f>IF(F30="","",F30/C30)</f>
        <v/>
      </c>
      <c r="K30" s="160">
        <f>IF(F30&gt;0,C31/F30-1,"")</f>
        <v/>
      </c>
      <c r="L30" s="44">
        <f>IF(F30="","Not entered",IF(F30&gt;=C30,"On track","Behind"))</f>
        <v/>
      </c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20.1" customHeight="1">
      <c r="A31" s="143" t="n">
        <v>47027</v>
      </c>
      <c r="B31" s="34" t="n">
        <v>28</v>
      </c>
      <c r="C31" s="156">
        <f>C30*(1+E31)</f>
        <v/>
      </c>
      <c r="D31" s="156">
        <f>C31-C30</f>
        <v/>
      </c>
      <c r="E31" s="157">
        <f>IF($B31&lt;=Assumptions!$B$10,Assumptions!$B$6,Assumptions!$B$11)</f>
        <v/>
      </c>
      <c r="F31" s="156" t="n"/>
      <c r="G31" s="156">
        <f>IF(OR(F31="",F30=""),"",F31-F30)</f>
        <v/>
      </c>
      <c r="H31" s="158">
        <f>IF(OR(F31="",F30=0,F30=""),"",F31/F30-1)</f>
        <v/>
      </c>
      <c r="I31" s="156">
        <f>IF(F31="","",F31-C31)</f>
        <v/>
      </c>
      <c r="J31" s="158">
        <f>IF(F31="","",F31/C31)</f>
        <v/>
      </c>
      <c r="K31" s="158">
        <f>IF(F31&gt;0,C32/F31-1,"")</f>
        <v/>
      </c>
      <c r="L31" s="44">
        <f>IF(F31="","Not entered",IF(F31&gt;=C31,"On track","Behind"))</f>
        <v/>
      </c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20.1" customHeight="1">
      <c r="A32" s="147" t="n">
        <v>47058</v>
      </c>
      <c r="B32" s="38" t="n">
        <v>29</v>
      </c>
      <c r="C32" s="159">
        <f>C31*(1+E32)</f>
        <v/>
      </c>
      <c r="D32" s="159">
        <f>C32-C31</f>
        <v/>
      </c>
      <c r="E32" s="157">
        <f>IF($B32&lt;=Assumptions!$B$10,Assumptions!$B$6,Assumptions!$B$11)</f>
        <v/>
      </c>
      <c r="F32" s="159" t="n"/>
      <c r="G32" s="159">
        <f>IF(OR(F32="",F31=""),"",F32-F31)</f>
        <v/>
      </c>
      <c r="H32" s="160">
        <f>IF(OR(F32="",F31=0,F31=""),"",F32/F31-1)</f>
        <v/>
      </c>
      <c r="I32" s="159">
        <f>IF(F32="","",F32-C32)</f>
        <v/>
      </c>
      <c r="J32" s="160">
        <f>IF(F32="","",F32/C32)</f>
        <v/>
      </c>
      <c r="K32" s="160">
        <f>IF(F32&gt;0,C33/F32-1,"")</f>
        <v/>
      </c>
      <c r="L32" s="44">
        <f>IF(F32="","Not entered",IF(F32&gt;=C32,"On track","Behind"))</f>
        <v/>
      </c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20.1" customHeight="1">
      <c r="A33" s="143" t="n">
        <v>47088</v>
      </c>
      <c r="B33" s="34" t="n">
        <v>30</v>
      </c>
      <c r="C33" s="156">
        <f>C32*(1+E33)</f>
        <v/>
      </c>
      <c r="D33" s="156">
        <f>C33-C32</f>
        <v/>
      </c>
      <c r="E33" s="157">
        <f>IF($B33&lt;=Assumptions!$B$10,Assumptions!$B$6,Assumptions!$B$11)</f>
        <v/>
      </c>
      <c r="F33" s="156" t="n"/>
      <c r="G33" s="156">
        <f>IF(OR(F33="",F32=""),"",F33-F32)</f>
        <v/>
      </c>
      <c r="H33" s="158">
        <f>IF(OR(F33="",F32=0,F32=""),"",F33/F32-1)</f>
        <v/>
      </c>
      <c r="I33" s="156">
        <f>IF(F33="","",F33-C33)</f>
        <v/>
      </c>
      <c r="J33" s="158">
        <f>IF(F33="","",F33/C33)</f>
        <v/>
      </c>
      <c r="K33" s="158">
        <f>IF(F33&gt;0,C34/F33-1,"")</f>
        <v/>
      </c>
      <c r="L33" s="44">
        <f>IF(F33="","Not entered",IF(F33&gt;=C33,"On track","Behind"))</f>
        <v/>
      </c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20.1" customHeight="1">
      <c r="A34" s="147" t="n">
        <v>47119</v>
      </c>
      <c r="B34" s="38" t="n">
        <v>31</v>
      </c>
      <c r="C34" s="159">
        <f>C33*(1+E34)</f>
        <v/>
      </c>
      <c r="D34" s="159">
        <f>C34-C33</f>
        <v/>
      </c>
      <c r="E34" s="157">
        <f>IF($B34&lt;=Assumptions!$B$10,Assumptions!$B$6,Assumptions!$B$11)</f>
        <v/>
      </c>
      <c r="F34" s="159" t="n"/>
      <c r="G34" s="159">
        <f>IF(OR(F34="",F33=""),"",F34-F33)</f>
        <v/>
      </c>
      <c r="H34" s="160">
        <f>IF(OR(F34="",F33=0,F33=""),"",F34/F33-1)</f>
        <v/>
      </c>
      <c r="I34" s="159">
        <f>IF(F34="","",F34-C34)</f>
        <v/>
      </c>
      <c r="J34" s="160">
        <f>IF(F34="","",F34/C34)</f>
        <v/>
      </c>
      <c r="K34" s="160">
        <f>IF(F34&gt;0,C35/F34-1,"")</f>
        <v/>
      </c>
      <c r="L34" s="44">
        <f>IF(F34="","Not entered",IF(F34&gt;=C34,"On track","Behind"))</f>
        <v/>
      </c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20.1" customHeight="1">
      <c r="A35" s="143" t="n">
        <v>47150</v>
      </c>
      <c r="B35" s="34" t="n">
        <v>32</v>
      </c>
      <c r="C35" s="156">
        <f>C34*(1+E35)</f>
        <v/>
      </c>
      <c r="D35" s="156">
        <f>C35-C34</f>
        <v/>
      </c>
      <c r="E35" s="157">
        <f>IF($B35&lt;=Assumptions!$B$10,Assumptions!$B$6,Assumptions!$B$11)</f>
        <v/>
      </c>
      <c r="F35" s="156" t="n"/>
      <c r="G35" s="156">
        <f>IF(OR(F35="",F34=""),"",F35-F34)</f>
        <v/>
      </c>
      <c r="H35" s="158">
        <f>IF(OR(F35="",F34=0,F34=""),"",F35/F34-1)</f>
        <v/>
      </c>
      <c r="I35" s="156">
        <f>IF(F35="","",F35-C35)</f>
        <v/>
      </c>
      <c r="J35" s="158">
        <f>IF(F35="","",F35/C35)</f>
        <v/>
      </c>
      <c r="K35" s="158">
        <f>IF(F35&gt;0,C36/F35-1,"")</f>
        <v/>
      </c>
      <c r="L35" s="44">
        <f>IF(F35="","Not entered",IF(F35&gt;=C35,"On track","Behind"))</f>
        <v/>
      </c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20.1" customHeight="1">
      <c r="A36" s="147" t="n">
        <v>47178</v>
      </c>
      <c r="B36" s="38" t="n">
        <v>33</v>
      </c>
      <c r="C36" s="159">
        <f>C35*(1+E36)</f>
        <v/>
      </c>
      <c r="D36" s="159">
        <f>C36-C35</f>
        <v/>
      </c>
      <c r="E36" s="157">
        <f>IF($B36&lt;=Assumptions!$B$10,Assumptions!$B$6,Assumptions!$B$11)</f>
        <v/>
      </c>
      <c r="F36" s="159" t="n"/>
      <c r="G36" s="159">
        <f>IF(OR(F36="",F35=""),"",F36-F35)</f>
        <v/>
      </c>
      <c r="H36" s="160">
        <f>IF(OR(F36="",F35=0,F35=""),"",F36/F35-1)</f>
        <v/>
      </c>
      <c r="I36" s="159">
        <f>IF(F36="","",F36-C36)</f>
        <v/>
      </c>
      <c r="J36" s="160">
        <f>IF(F36="","",F36/C36)</f>
        <v/>
      </c>
      <c r="K36" s="160">
        <f>IF(F36&gt;0,C37/F36-1,"")</f>
        <v/>
      </c>
      <c r="L36" s="44">
        <f>IF(F36="","Not entered",IF(F36&gt;=C36,"On track","Behind"))</f>
        <v/>
      </c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20.1" customHeight="1">
      <c r="A37" s="143" t="n">
        <v>47209</v>
      </c>
      <c r="B37" s="34" t="n">
        <v>34</v>
      </c>
      <c r="C37" s="156">
        <f>C36*(1+E37)</f>
        <v/>
      </c>
      <c r="D37" s="156">
        <f>C37-C36</f>
        <v/>
      </c>
      <c r="E37" s="157">
        <f>IF($B37&lt;=Assumptions!$B$10,Assumptions!$B$6,Assumptions!$B$11)</f>
        <v/>
      </c>
      <c r="F37" s="156" t="n"/>
      <c r="G37" s="156">
        <f>IF(OR(F37="",F36=""),"",F37-F36)</f>
        <v/>
      </c>
      <c r="H37" s="158">
        <f>IF(OR(F37="",F36=0,F36=""),"",F37/F36-1)</f>
        <v/>
      </c>
      <c r="I37" s="156">
        <f>IF(F37="","",F37-C37)</f>
        <v/>
      </c>
      <c r="J37" s="158">
        <f>IF(F37="","",F37/C37)</f>
        <v/>
      </c>
      <c r="K37" s="158">
        <f>IF(F37&gt;0,C38/F37-1,"")</f>
        <v/>
      </c>
      <c r="L37" s="44">
        <f>IF(F37="","Not entered",IF(F37&gt;=C37,"On track","Behind"))</f>
        <v/>
      </c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20.1" customHeight="1">
      <c r="A38" s="147" t="n">
        <v>47239</v>
      </c>
      <c r="B38" s="38" t="n">
        <v>35</v>
      </c>
      <c r="C38" s="159">
        <f>C37*(1+E38)</f>
        <v/>
      </c>
      <c r="D38" s="159">
        <f>C38-C37</f>
        <v/>
      </c>
      <c r="E38" s="157">
        <f>IF($B38&lt;=Assumptions!$B$10,Assumptions!$B$6,Assumptions!$B$11)</f>
        <v/>
      </c>
      <c r="F38" s="159" t="n"/>
      <c r="G38" s="159">
        <f>IF(OR(F38="",F37=""),"",F38-F37)</f>
        <v/>
      </c>
      <c r="H38" s="160">
        <f>IF(OR(F38="",F37=0,F37=""),"",F38/F37-1)</f>
        <v/>
      </c>
      <c r="I38" s="159">
        <f>IF(F38="","",F38-C38)</f>
        <v/>
      </c>
      <c r="J38" s="160">
        <f>IF(F38="","",F38/C38)</f>
        <v/>
      </c>
      <c r="K38" s="160">
        <f>IF(F38&gt;0,C39/F38-1,"")</f>
        <v/>
      </c>
      <c r="L38" s="44">
        <f>IF(F38="","Not entered",IF(F38&gt;=C38,"On track","Behind"))</f>
        <v/>
      </c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20.1" customHeight="1">
      <c r="A39" s="143" t="n">
        <v>47270</v>
      </c>
      <c r="B39" s="34" t="n">
        <v>36</v>
      </c>
      <c r="C39" s="156">
        <f>C38*(1+E39)</f>
        <v/>
      </c>
      <c r="D39" s="156">
        <f>C39-C38</f>
        <v/>
      </c>
      <c r="E39" s="157">
        <f>IF($B39&lt;=Assumptions!$B$10,Assumptions!$B$6,Assumptions!$B$11)</f>
        <v/>
      </c>
      <c r="F39" s="156" t="n"/>
      <c r="G39" s="156">
        <f>IF(OR(F39="",F38=""),"",F39-F38)</f>
        <v/>
      </c>
      <c r="H39" s="158">
        <f>IF(OR(F39="",F38=0,F38=""),"",F39/F38-1)</f>
        <v/>
      </c>
      <c r="I39" s="156">
        <f>IF(F39="","",F39-C39)</f>
        <v/>
      </c>
      <c r="J39" s="158">
        <f>IF(F39="","",F39/C39)</f>
        <v/>
      </c>
      <c r="K39" s="158">
        <f>IF(F39&gt;0,C40/F39-1,"")</f>
        <v/>
      </c>
      <c r="L39" s="44">
        <f>IF(F39="","Not entered",IF(F39&gt;=C39,"On track","Behind"))</f>
        <v/>
      </c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20.1" customHeight="1">
      <c r="A40" s="147" t="n">
        <v>47300</v>
      </c>
      <c r="B40" s="38" t="n">
        <v>37</v>
      </c>
      <c r="C40" s="159">
        <f>C39*(1+E40)</f>
        <v/>
      </c>
      <c r="D40" s="159">
        <f>C40-C39</f>
        <v/>
      </c>
      <c r="E40" s="157">
        <f>IF($B40&lt;=Assumptions!$B$10,Assumptions!$B$6,Assumptions!$B$11)</f>
        <v/>
      </c>
      <c r="F40" s="159" t="n"/>
      <c r="G40" s="159">
        <f>IF(OR(F40="",F39=""),"",F40-F39)</f>
        <v/>
      </c>
      <c r="H40" s="160">
        <f>IF(OR(F40="",F39=0,F39=""),"",F40/F39-1)</f>
        <v/>
      </c>
      <c r="I40" s="159">
        <f>IF(F40="","",F40-C40)</f>
        <v/>
      </c>
      <c r="J40" s="160">
        <f>IF(F40="","",F40/C40)</f>
        <v/>
      </c>
      <c r="K40" s="160">
        <f>IF(F40&gt;0,C41/F40-1,"")</f>
        <v/>
      </c>
      <c r="L40" s="44">
        <f>IF(F40="","Not entered",IF(F40&gt;=C40,"On track","Behind"))</f>
        <v/>
      </c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20.1" customHeight="1">
      <c r="A41" s="143" t="n">
        <v>47331</v>
      </c>
      <c r="B41" s="34" t="n">
        <v>38</v>
      </c>
      <c r="C41" s="156">
        <f>C40*(1+E41)</f>
        <v/>
      </c>
      <c r="D41" s="156">
        <f>C41-C40</f>
        <v/>
      </c>
      <c r="E41" s="157">
        <f>IF($B41&lt;=Assumptions!$B$10,Assumptions!$B$6,Assumptions!$B$11)</f>
        <v/>
      </c>
      <c r="F41" s="156" t="n"/>
      <c r="G41" s="156">
        <f>IF(OR(F41="",F40=""),"",F41-F40)</f>
        <v/>
      </c>
      <c r="H41" s="158">
        <f>IF(OR(F41="",F40=0,F40=""),"",F41/F40-1)</f>
        <v/>
      </c>
      <c r="I41" s="156">
        <f>IF(F41="","",F41-C41)</f>
        <v/>
      </c>
      <c r="J41" s="158">
        <f>IF(F41="","",F41/C41)</f>
        <v/>
      </c>
      <c r="K41" s="158">
        <f>IF(F41&gt;0,C42/F41-1,"")</f>
        <v/>
      </c>
      <c r="L41" s="44">
        <f>IF(F41="","Not entered",IF(F41&gt;=C41,"On track","Behind"))</f>
        <v/>
      </c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20.1" customHeight="1">
      <c r="A42" s="147" t="n">
        <v>47362</v>
      </c>
      <c r="B42" s="38" t="n">
        <v>39</v>
      </c>
      <c r="C42" s="159">
        <f>C41*(1+E42)</f>
        <v/>
      </c>
      <c r="D42" s="159">
        <f>C42-C41</f>
        <v/>
      </c>
      <c r="E42" s="157">
        <f>IF($B42&lt;=Assumptions!$B$10,Assumptions!$B$6,Assumptions!$B$11)</f>
        <v/>
      </c>
      <c r="F42" s="159" t="n"/>
      <c r="G42" s="159">
        <f>IF(OR(F42="",F41=""),"",F42-F41)</f>
        <v/>
      </c>
      <c r="H42" s="160">
        <f>IF(OR(F42="",F41=0,F41=""),"",F42/F41-1)</f>
        <v/>
      </c>
      <c r="I42" s="159">
        <f>IF(F42="","",F42-C42)</f>
        <v/>
      </c>
      <c r="J42" s="160">
        <f>IF(F42="","",F42/C42)</f>
        <v/>
      </c>
      <c r="K42" s="160">
        <f>IF(F42&gt;0,C43/F42-1,"")</f>
        <v/>
      </c>
      <c r="L42" s="44">
        <f>IF(F42="","Not entered",IF(F42&gt;=C42,"On track","Behind"))</f>
        <v/>
      </c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20.1" customHeight="1">
      <c r="A43" s="143" t="n">
        <v>47392</v>
      </c>
      <c r="B43" s="34" t="n">
        <v>40</v>
      </c>
      <c r="C43" s="156">
        <f>C42*(1+E43)</f>
        <v/>
      </c>
      <c r="D43" s="156">
        <f>C43-C42</f>
        <v/>
      </c>
      <c r="E43" s="157">
        <f>IF($B43&lt;=Assumptions!$B$10,Assumptions!$B$6,Assumptions!$B$11)</f>
        <v/>
      </c>
      <c r="F43" s="156" t="n"/>
      <c r="G43" s="156">
        <f>IF(OR(F43="",F42=""),"",F43-F42)</f>
        <v/>
      </c>
      <c r="H43" s="158">
        <f>IF(OR(F43="",F42=0,F42=""),"",F43/F42-1)</f>
        <v/>
      </c>
      <c r="I43" s="156">
        <f>IF(F43="","",F43-C43)</f>
        <v/>
      </c>
      <c r="J43" s="158">
        <f>IF(F43="","",F43/C43)</f>
        <v/>
      </c>
      <c r="K43" s="158">
        <f>IF(F43&gt;0,C44/F43-1,"")</f>
        <v/>
      </c>
      <c r="L43" s="44">
        <f>IF(F43="","Not entered",IF(F43&gt;=C43,"On track","Behind"))</f>
        <v/>
      </c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20.1" customHeight="1">
      <c r="A44" s="147" t="n">
        <v>47423</v>
      </c>
      <c r="B44" s="38" t="n">
        <v>41</v>
      </c>
      <c r="C44" s="159">
        <f>C43*(1+E44)</f>
        <v/>
      </c>
      <c r="D44" s="159">
        <f>C44-C43</f>
        <v/>
      </c>
      <c r="E44" s="157">
        <f>IF($B44&lt;=Assumptions!$B$10,Assumptions!$B$6,Assumptions!$B$11)</f>
        <v/>
      </c>
      <c r="F44" s="159" t="n"/>
      <c r="G44" s="159">
        <f>IF(OR(F44="",F43=""),"",F44-F43)</f>
        <v/>
      </c>
      <c r="H44" s="160">
        <f>IF(OR(F44="",F43=0,F43=""),"",F44/F43-1)</f>
        <v/>
      </c>
      <c r="I44" s="159">
        <f>IF(F44="","",F44-C44)</f>
        <v/>
      </c>
      <c r="J44" s="160">
        <f>IF(F44="","",F44/C44)</f>
        <v/>
      </c>
      <c r="K44" s="160">
        <f>IF(F44&gt;0,C45/F44-1,"")</f>
        <v/>
      </c>
      <c r="L44" s="44">
        <f>IF(F44="","Not entered",IF(F44&gt;=C44,"On track","Behind"))</f>
        <v/>
      </c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20.1" customHeight="1">
      <c r="A45" s="143" t="n">
        <v>47453</v>
      </c>
      <c r="B45" s="34" t="n">
        <v>42</v>
      </c>
      <c r="C45" s="156">
        <f>C44*(1+E45)</f>
        <v/>
      </c>
      <c r="D45" s="156">
        <f>C45-C44</f>
        <v/>
      </c>
      <c r="E45" s="157">
        <f>IF($B45&lt;=Assumptions!$B$10,Assumptions!$B$6,Assumptions!$B$11)</f>
        <v/>
      </c>
      <c r="F45" s="156" t="n"/>
      <c r="G45" s="156">
        <f>IF(OR(F45="",F44=""),"",F45-F44)</f>
        <v/>
      </c>
      <c r="H45" s="158">
        <f>IF(OR(F45="",F44=0,F44=""),"",F45/F44-1)</f>
        <v/>
      </c>
      <c r="I45" s="156">
        <f>IF(F45="","",F45-C45)</f>
        <v/>
      </c>
      <c r="J45" s="158">
        <f>IF(F45="","",F45/C45)</f>
        <v/>
      </c>
      <c r="K45" s="158" t="n"/>
      <c r="L45" s="44">
        <f>IF(F45="","Not entered",IF(F45&gt;=C45,"On track","Behind"))</f>
        <v/>
      </c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</sheetData>
  <mergeCells count="1">
    <mergeCell ref="A1:M1"/>
  </mergeCells>
  <conditionalFormatting sqref="F3:F45">
    <cfRule type="colorScale" priority="6">
      <colorScale>
        <cfvo type="min"/>
        <cfvo type="num" val="0"/>
        <cfvo type="max"/>
        <color rgb="FFFECACA"/>
        <color rgb="FFFEF3C7"/>
        <color rgb="FFBBF7D0"/>
      </colorScale>
    </cfRule>
  </conditionalFormatting>
  <conditionalFormatting sqref="G3:G45">
    <cfRule type="cellIs" priority="7" operator="lessThan" dxfId="4" stopIfTrue="1">
      <formula>1</formula>
    </cfRule>
    <cfRule type="cellIs" priority="8" operator="greaterThanOrEqual" dxfId="3" stopIfTrue="1">
      <formula>1</formula>
    </cfRule>
  </conditionalFormatting>
  <conditionalFormatting sqref="H3:H45">
    <cfRule type="colorScale" priority="9">
      <colorScale>
        <cfvo type="min"/>
        <cfvo type="percentile" val="50"/>
        <cfvo type="max"/>
        <color rgb="FFFCA5A5"/>
        <color rgb="FFFEF3C7"/>
        <color rgb="FF86EFAC"/>
      </colorScale>
    </cfRule>
  </conditionalFormatting>
  <conditionalFormatting sqref="I3:I45">
    <cfRule type="dataBar" priority="10">
      <dataBar>
        <cfvo type="min"/>
        <cfvo type="max"/>
        <color rgb="FFC9A227"/>
      </dataBar>
    </cfRule>
    <cfRule type="dataBar" priority="14">
      <dataBar>
        <cfvo type="min"/>
        <cfvo type="max"/>
        <color rgb="FFC9A227"/>
      </dataBar>
    </cfRule>
  </conditionalFormatting>
  <conditionalFormatting sqref="K3:K45">
    <cfRule type="expression" priority="11" dxfId="2">
      <formula>K3="On track"</formula>
    </cfRule>
    <cfRule type="expression" priority="12" dxfId="1">
      <formula>K3="Behind"</formula>
    </cfRule>
    <cfRule type="expression" priority="13" dxfId="0">
      <formula>K3="Not entered"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"/>
  <sheetViews>
    <sheetView showGridLines="0" workbookViewId="0">
      <selection activeCell="C23" sqref="C23"/>
    </sheetView>
  </sheetViews>
  <sheetFormatPr baseColWidth="8" defaultRowHeight="14.25"/>
  <cols>
    <col width="26" customWidth="1" min="1" max="1"/>
    <col width="22" customWidth="1" min="2" max="2"/>
    <col width="14" customWidth="1" min="3" max="4"/>
  </cols>
  <sheetData>
    <row r="1" ht="18" customHeight="1">
      <c r="A1" s="91" t="inlineStr">
        <is>
          <t>Asset Growth Tracker Assumptions</t>
        </is>
      </c>
      <c r="B1" s="97" t="n"/>
      <c r="C1" s="97" t="n"/>
      <c r="D1" s="98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n"/>
      <c r="B2" s="13" t="n"/>
      <c r="C2" s="13" t="n"/>
      <c r="D2" s="13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45" t="inlineStr">
        <is>
          <t>Start Month</t>
        </is>
      </c>
      <c r="B3" s="150" t="n">
        <v>46174</v>
      </c>
      <c r="C3" s="15" t="n"/>
      <c r="D3" s="15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45" t="inlineStr">
        <is>
          <t>End Month</t>
        </is>
      </c>
      <c r="B4" s="150" t="n">
        <v>47453</v>
      </c>
      <c r="C4" s="13" t="n"/>
      <c r="D4" s="13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45" t="inlineStr">
        <is>
          <t>Starting Asset (KRW)</t>
        </is>
      </c>
      <c r="B5" s="151" t="n">
        <v>60000000</v>
      </c>
      <c r="C5" s="15" t="n"/>
      <c r="D5" s="15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45" t="inlineStr">
        <is>
          <t>Phase 1 Monthly Return</t>
        </is>
      </c>
      <c r="B6" s="152" t="n">
        <v>0.2</v>
      </c>
      <c r="C6" s="13" t="n"/>
      <c r="D6" s="13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45" t="inlineStr">
        <is>
          <t>Target Asset (KRW)</t>
        </is>
      </c>
      <c r="B7" s="151" t="n">
        <v>1000000000</v>
      </c>
      <c r="C7" s="15" t="n"/>
      <c r="D7" s="15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>
      <c r="A8" s="45" t="inlineStr">
        <is>
          <t>Notes</t>
        </is>
      </c>
      <c r="B8" s="93" t="inlineStr">
        <is>
          <t>시나리오: 2026-06 시작자산 6천만원(시작점, gain 없음). 2026-07~2026-11(Month 1~6) 월 20%, 2026-12부터(Month 7~) 월 12% 복리.</t>
        </is>
      </c>
      <c r="C8" s="154" t="n"/>
      <c r="D8" s="155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4" t="n"/>
      <c r="B9" s="15" t="n"/>
      <c r="C9" s="15" t="n"/>
      <c r="D9" s="15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36" customHeight="1">
      <c r="A10" s="95" t="inlineStr">
        <is>
          <t>Phase 1 End Month #</t>
        </is>
      </c>
      <c r="B10" t="n">
        <v>5</v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4" t="inlineStr">
        <is>
          <t>Phase 2 Monthly Return</t>
        </is>
      </c>
      <c r="B11" s="161" t="n">
        <v>0.12</v>
      </c>
      <c r="C11" s="15" t="n"/>
      <c r="D11" s="15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2" t="n"/>
      <c r="B12" s="13" t="n"/>
      <c r="C12" s="13" t="n"/>
      <c r="D12" s="13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4" t="n"/>
      <c r="B13" s="15" t="n"/>
      <c r="C13" s="15" t="n"/>
      <c r="D13" s="15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2" t="inlineStr">
        <is>
          <t>Note: 2026-06(Month 0)은 시작점이라 gain·return 없음. 2026-07부터 target rate 적용.</t>
        </is>
      </c>
      <c r="B14" s="13" t="n"/>
      <c r="C14" s="13" t="n"/>
      <c r="D14" s="13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4" t="n"/>
      <c r="B15" s="15" t="n"/>
      <c r="C15" s="15" t="n"/>
      <c r="D15" s="15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2" t="n"/>
      <c r="B16" s="13" t="n"/>
      <c r="C16" s="13" t="n"/>
      <c r="D16" s="13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4" t="n"/>
      <c r="B17" s="15" t="n"/>
      <c r="C17" s="15" t="n"/>
      <c r="D17" s="15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2" t="n"/>
      <c r="B18" s="13" t="n"/>
      <c r="C18" s="13" t="n"/>
      <c r="D18" s="13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4" t="n"/>
      <c r="B19" s="15" t="n"/>
      <c r="C19" s="15" t="n"/>
      <c r="D19" s="15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</sheetData>
  <mergeCells count="2">
    <mergeCell ref="A1:D1"/>
    <mergeCell ref="B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topsun</dc:creator>
  <dcterms:created xmlns:dcterms="http://purl.org/dc/terms/" xmlns:xsi="http://www.w3.org/2001/XMLSchema-instance" xsi:type="dcterms:W3CDTF">2026-05-21T01:52:23Z</dcterms:created>
  <dcterms:modified xmlns:dcterms="http://purl.org/dc/terms/" xmlns:xsi="http://www.w3.org/2001/XMLSchema-instance" xsi:type="dcterms:W3CDTF">2026-05-21T03:43:32Z</dcterms:modified>
  <cp:lastModifiedBy>topsun</cp:lastModifiedBy>
</cp:coreProperties>
</file>